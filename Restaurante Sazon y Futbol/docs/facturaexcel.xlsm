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tinez\Desktop\"/>
    </mc:Choice>
  </mc:AlternateContent>
  <bookViews>
    <workbookView xWindow="0" yWindow="0" windowWidth="28800" windowHeight="12435"/>
  </bookViews>
  <sheets>
    <sheet name="FACTURA" sheetId="1" r:id="rId1"/>
    <sheet name="DATOS" sheetId="2" r:id="rId2"/>
    <sheet name="CLIENTES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D35" i="1"/>
  <c r="D34" i="1"/>
  <c r="D33" i="1"/>
  <c r="I26" i="1"/>
  <c r="F26" i="1"/>
  <c r="C26" i="1"/>
  <c r="I25" i="1"/>
  <c r="F25" i="1"/>
  <c r="C25" i="1"/>
  <c r="I24" i="1"/>
  <c r="F24" i="1"/>
  <c r="C24" i="1"/>
  <c r="I23" i="1"/>
  <c r="F23" i="1"/>
  <c r="C23" i="1"/>
  <c r="I22" i="1"/>
  <c r="F22" i="1"/>
  <c r="C22" i="1"/>
  <c r="I21" i="1"/>
  <c r="F21" i="1"/>
  <c r="C21" i="1"/>
  <c r="I20" i="1"/>
  <c r="F20" i="1"/>
  <c r="C20" i="1"/>
  <c r="I19" i="1"/>
  <c r="F19" i="1"/>
  <c r="C19" i="1"/>
  <c r="I18" i="1"/>
  <c r="F18" i="1"/>
  <c r="C18" i="1"/>
  <c r="I17" i="1"/>
  <c r="F17" i="1"/>
  <c r="C17" i="1"/>
  <c r="F16" i="1"/>
  <c r="I16" i="1" s="1"/>
  <c r="C16" i="1"/>
  <c r="C13" i="1"/>
  <c r="C12" i="1"/>
  <c r="C11" i="1"/>
  <c r="C10" i="1"/>
  <c r="C9" i="1"/>
  <c r="I2" i="3" s="1"/>
  <c r="I27" i="1" l="1"/>
  <c r="I28" i="1" l="1"/>
  <c r="I29" i="1" s="1"/>
</calcChain>
</file>

<file path=xl/sharedStrings.xml><?xml version="1.0" encoding="utf-8"?>
<sst xmlns="http://schemas.openxmlformats.org/spreadsheetml/2006/main" count="213" uniqueCount="192">
  <si>
    <t>FACTURA DE VENTA NO°</t>
  </si>
  <si>
    <t>RESOLUCIÓN DE AUTORIZACIÓN DIAN</t>
  </si>
  <si>
    <t>CÉDULA</t>
  </si>
  <si>
    <t>NOMBRE CLIENTE</t>
  </si>
  <si>
    <t>TELÉFONO</t>
  </si>
  <si>
    <t>CELULAR</t>
  </si>
  <si>
    <t>E-MAIL</t>
  </si>
  <si>
    <t>CIUDAD</t>
  </si>
  <si>
    <t>FECHA
FACTURA</t>
  </si>
  <si>
    <t>DÍA</t>
  </si>
  <si>
    <t>MES</t>
  </si>
  <si>
    <t>AÑO</t>
  </si>
  <si>
    <t>CÓDIGO DEL
PRODUCTO</t>
  </si>
  <si>
    <t>CANTIDAD</t>
  </si>
  <si>
    <t>SUBTOTAL</t>
  </si>
  <si>
    <t>FIRMA</t>
  </si>
  <si>
    <t>DESCUENTO</t>
  </si>
  <si>
    <t>CODIGO</t>
  </si>
  <si>
    <t>BANDEJA PAISA</t>
  </si>
  <si>
    <t>AJIACO</t>
  </si>
  <si>
    <t xml:space="preserve">SPAGUETTI </t>
  </si>
  <si>
    <t>SUSHI</t>
  </si>
  <si>
    <t>TACOS</t>
  </si>
  <si>
    <t>ALIGOT</t>
  </si>
  <si>
    <t>PRETZEL</t>
  </si>
  <si>
    <t>SANCOCHO DE GALLINA</t>
  </si>
  <si>
    <t>LECHONA</t>
  </si>
  <si>
    <t>JUGOS NATURALES</t>
  </si>
  <si>
    <t>GASEOSAS</t>
  </si>
  <si>
    <t>COMBO INFANTIL</t>
  </si>
  <si>
    <t>HAMBURGUESA</t>
  </si>
  <si>
    <t>PERRO</t>
  </si>
  <si>
    <t>CHUZO</t>
  </si>
  <si>
    <t>MONDONGO</t>
  </si>
  <si>
    <t>SANCOCHO DE PESCADO</t>
  </si>
  <si>
    <t>TAMAL</t>
  </si>
  <si>
    <t>LASAÑA</t>
  </si>
  <si>
    <t>PIZZA</t>
  </si>
  <si>
    <t>SALCHIPAPAS</t>
  </si>
  <si>
    <t>CANTIDAD
DISPONIBLE</t>
  </si>
  <si>
    <t>FORMA DE PAGO</t>
  </si>
  <si>
    <t>CELDA VINCULADA</t>
  </si>
  <si>
    <t>TARJETA DEBITO</t>
  </si>
  <si>
    <t>TARJETA CREDITO</t>
  </si>
  <si>
    <t>EFECTIVO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</si>
  <si>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</si>
  <si>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</si>
  <si>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</si>
  <si>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</si>
  <si>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</si>
  <si>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</si>
  <si>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</si>
  <si>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</si>
  <si>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</si>
  <si>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</si>
  <si>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</si>
  <si>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</si>
  <si>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OPCIÓN</t>
  </si>
  <si>
    <t>DESCRIPCIÓN</t>
  </si>
  <si>
    <t>POSTRE GRATUITO</t>
  </si>
  <si>
    <t>CLIENTE RECLAMA TOTALMENTE GRATIS UN POSTRE</t>
  </si>
  <si>
    <t>BONO 15% DESCUENTO</t>
  </si>
  <si>
    <t>INVITACIÓN EVENTO ESPECIAL</t>
  </si>
  <si>
    <t>DIEGO</t>
  </si>
  <si>
    <t>PULGARÍN</t>
  </si>
  <si>
    <t>diego_app1997@hotmail.com</t>
  </si>
  <si>
    <t>MEDELLÍN</t>
  </si>
  <si>
    <t xml:space="preserve">LUIS </t>
  </si>
  <si>
    <t>MONTOYA</t>
  </si>
  <si>
    <t>luismon@gmail.com</t>
  </si>
  <si>
    <t>SANTIAGO</t>
  </si>
  <si>
    <t>MARTÍNEZ</t>
  </si>
  <si>
    <t>santiago-1997@hotmail.es</t>
  </si>
  <si>
    <t>CALI</t>
  </si>
  <si>
    <t>LUCAS</t>
  </si>
  <si>
    <t>PEREZ</t>
  </si>
  <si>
    <t>lucas_perez@hotmail.com</t>
  </si>
  <si>
    <t>CARTAGENA</t>
  </si>
  <si>
    <t>PEDRO</t>
  </si>
  <si>
    <t>LOPEZ</t>
  </si>
  <si>
    <t>pedrop@hotmail.com</t>
  </si>
  <si>
    <t>MANIZALES</t>
  </si>
  <si>
    <t>JOSE</t>
  </si>
  <si>
    <t>ARANGO</t>
  </si>
  <si>
    <t>arangojose@gmail.com</t>
  </si>
  <si>
    <t>BOGOTÁ</t>
  </si>
  <si>
    <t>ARNULFO</t>
  </si>
  <si>
    <t>MEJIA</t>
  </si>
  <si>
    <t>arnulmeji@hotmail.es</t>
  </si>
  <si>
    <t>CÚCUTA</t>
  </si>
  <si>
    <t>NATALIA</t>
  </si>
  <si>
    <t>RODRIGUEZ</t>
  </si>
  <si>
    <t>natirodriguez@hotmail.com</t>
  </si>
  <si>
    <t>PASTO</t>
  </si>
  <si>
    <t>CAROLINA</t>
  </si>
  <si>
    <t>CARVAJAL</t>
  </si>
  <si>
    <t>caroc@gmail.com</t>
  </si>
  <si>
    <t>MONTERÍA</t>
  </si>
  <si>
    <t>ANGIE</t>
  </si>
  <si>
    <t>GUISAO</t>
  </si>
  <si>
    <t>anguie-guisao@hotmail.com</t>
  </si>
  <si>
    <t>GERALDINE</t>
  </si>
  <si>
    <t>IREGUI</t>
  </si>
  <si>
    <t>geral1213@hotmail.com</t>
  </si>
  <si>
    <t>LUISA</t>
  </si>
  <si>
    <t>PALACIOS</t>
  </si>
  <si>
    <t>luisapala@gmail.com</t>
  </si>
  <si>
    <t>BARRANQUILLA</t>
  </si>
  <si>
    <t>MARIANA</t>
  </si>
  <si>
    <t>CASAS</t>
  </si>
  <si>
    <t>marisas@hotmail.com</t>
  </si>
  <si>
    <t>MANUELA</t>
  </si>
  <si>
    <t>BECERRA</t>
  </si>
  <si>
    <t>becerramanu@gmail.com</t>
  </si>
  <si>
    <t>BUCARAMANGA</t>
  </si>
  <si>
    <t>ISABEL</t>
  </si>
  <si>
    <t>GUERRA</t>
  </si>
  <si>
    <t>isaguerra@hotmail.com</t>
  </si>
  <si>
    <t>CRISTIAN</t>
  </si>
  <si>
    <t>PANIAGUA</t>
  </si>
  <si>
    <t>crispani@hotmail.com</t>
  </si>
  <si>
    <t>JUAN</t>
  </si>
  <si>
    <t>GONZALES</t>
  </si>
  <si>
    <t>juan_gonza@gmail.com</t>
  </si>
  <si>
    <t>GUSTAVO</t>
  </si>
  <si>
    <t>CASTRILLON</t>
  </si>
  <si>
    <t>gustacas@hotmail.com</t>
  </si>
  <si>
    <t>RAFAEL</t>
  </si>
  <si>
    <t>PATIÑO</t>
  </si>
  <si>
    <t>rafapatiño@hotmail.es</t>
  </si>
  <si>
    <t>CARLOS</t>
  </si>
  <si>
    <t>PINTO</t>
  </si>
  <si>
    <t>carlos.pinto@hotmail.com</t>
  </si>
  <si>
    <t>MIGUEL</t>
  </si>
  <si>
    <t>MAZO</t>
  </si>
  <si>
    <t>migue-mazo@gmail.es</t>
  </si>
  <si>
    <t>CEDULA
CLIENTE</t>
  </si>
  <si>
    <t>NOMBRE
CLIENTE</t>
  </si>
  <si>
    <t>APELLIDO
CLIENTE</t>
  </si>
  <si>
    <t>TELEFONO
CLIENTE</t>
  </si>
  <si>
    <t>CELULAR
CLIENTE</t>
  </si>
  <si>
    <t>E-MAIL
CLIENTE</t>
  </si>
  <si>
    <t xml:space="preserve">CIUDAD
CLIENTE </t>
  </si>
  <si>
    <t>VALOR PRODUCTO</t>
  </si>
  <si>
    <t>PRODUCTO O SERVICIO</t>
  </si>
  <si>
    <t>VALOR
PRODUCTO</t>
  </si>
  <si>
    <t>NOMBRE DEL
PRODUCTO</t>
  </si>
  <si>
    <t xml:space="preserve">           X  </t>
  </si>
  <si>
    <t>CLIENTE RECIBE UN 15% DE DESCUENTO EN CUALQUIER PLATO</t>
  </si>
  <si>
    <t xml:space="preserve">RECIBE  INVITACIÓN CON TODO PAGO PARA PRÓXIMO EVENTO </t>
  </si>
  <si>
    <t xml:space="preserve">                      NETO</t>
  </si>
  <si>
    <t xml:space="preserve">                      DESCUENTO</t>
  </si>
  <si>
    <t xml:space="preserve">                      IVA</t>
  </si>
  <si>
    <t xml:space="preserve">                      TOTAL COTIZACIÓN</t>
  </si>
  <si>
    <t>CONDICIONES COMERCIALES</t>
  </si>
  <si>
    <t>SAZÓN Y CALIDAD EN TODOS NUESTROS PLATOS</t>
  </si>
  <si>
    <t>TIEMPO ENTREGA INMEDIATO</t>
  </si>
  <si>
    <t>PAGOS CON TARJETA DE CRÉDITO O DÉBITO, EFECTIVO</t>
  </si>
  <si>
    <t>CLIENTE VINCULADO</t>
  </si>
  <si>
    <t>armarce1@hotmail.com</t>
  </si>
  <si>
    <t>PAULA</t>
  </si>
  <si>
    <t>PIEDRAHITA</t>
  </si>
  <si>
    <t>ppiedrahita8@gmail.com</t>
  </si>
  <si>
    <t>FLOR</t>
  </si>
  <si>
    <t>ARENAS</t>
  </si>
  <si>
    <t>floresita@gmail.com</t>
  </si>
  <si>
    <t>AMAZONAS</t>
  </si>
  <si>
    <t>00-21</t>
  </si>
  <si>
    <t>00-10</t>
  </si>
  <si>
    <t>ARROZ CON LECHE</t>
  </si>
  <si>
    <t>00-01</t>
  </si>
  <si>
    <t>00-02</t>
  </si>
  <si>
    <t>00-03</t>
  </si>
  <si>
    <t>00-04</t>
  </si>
  <si>
    <t>00-05</t>
  </si>
  <si>
    <t>00-06</t>
  </si>
  <si>
    <t>00-07</t>
  </si>
  <si>
    <t>00-08</t>
  </si>
  <si>
    <t>00-09</t>
  </si>
  <si>
    <t>00-11</t>
  </si>
  <si>
    <t>00-12</t>
  </si>
  <si>
    <t>00-13</t>
  </si>
  <si>
    <t>00-14</t>
  </si>
  <si>
    <t>00-15</t>
  </si>
  <si>
    <t>00-16</t>
  </si>
  <si>
    <t>00-17</t>
  </si>
  <si>
    <t>00-18</t>
  </si>
  <si>
    <t>00-19</t>
  </si>
  <si>
    <t>00-20</t>
  </si>
  <si>
    <t>00-22</t>
  </si>
  <si>
    <t>00-23</t>
  </si>
  <si>
    <t>PIÑA COLADA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</si>
</sst>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&quot;$&quot;* #,##0_-;\-&quot;$&quot;* #,##0_-;_-&quot;$&quot;* &quot;-&quot;_-;_-@_-"/>
    <numFmt numFmtId="165" formatCode="#,###,###,###"/>
    <numFmt numFmtId="166" formatCode="00\-0#"/>
    <numFmt numFmtId="167" formatCode="&quot;$&quot;#,##0"/>
    <numFmt numFmtId="168" formatCode="&quot;$&quot;\ #,##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BE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center" vertical="center"/>
    </xf>
    <xf numFmtId="0" fontId="0" fillId="3" borderId="3" xfId="0" applyFill="1" applyBorder="1" applyAlignment="1"/>
    <xf numFmtId="0" fontId="0" fillId="3" borderId="4" xfId="0" applyFill="1" applyBorder="1" applyAlignment="1"/>
    <xf numFmtId="0" fontId="0" fillId="3" borderId="5" xfId="0" applyFill="1" applyBorder="1" applyAlignment="1"/>
    <xf numFmtId="0" fontId="0" fillId="3" borderId="0" xfId="0" applyFill="1" applyBorder="1" applyAlignment="1"/>
    <xf numFmtId="0" fontId="0" fillId="3" borderId="6" xfId="0" applyFill="1" applyBorder="1" applyAlignment="1"/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vertical="center"/>
    </xf>
    <xf numFmtId="166" fontId="5" fillId="0" borderId="1" xfId="0" applyNumberFormat="1" applyFont="1" applyBorder="1"/>
    <xf numFmtId="167" fontId="5" fillId="0" borderId="1" xfId="0" applyNumberFormat="1" applyFont="1" applyBorder="1"/>
    <xf numFmtId="0" fontId="0" fillId="0" borderId="0" xfId="0"/>
    <xf numFmtId="0" fontId="5" fillId="0" borderId="1" xfId="0" applyFont="1" applyBorder="1"/>
    <xf numFmtId="0" fontId="0" fillId="0" borderId="0" xfId="0"/>
    <xf numFmtId="0" fontId="7" fillId="6" borderId="1" xfId="0" applyFont="1" applyFill="1" applyBorder="1" applyAlignment="1">
      <alignment horizontal="center" vertical="center"/>
    </xf>
    <xf numFmtId="0" fontId="7" fillId="6" borderId="1" xfId="0" applyFont="1" applyFill="1" applyBorder="1"/>
    <xf numFmtId="0" fontId="5" fillId="0" borderId="1" xfId="0" applyFont="1" applyBorder="1"/>
    <xf numFmtId="0" fontId="5" fillId="0" borderId="1" xfId="0" applyFont="1" applyBorder="1" applyAlignment="1"/>
    <xf numFmtId="0" fontId="5" fillId="7" borderId="1" xfId="0" applyFont="1" applyFill="1" applyBorder="1" applyAlignment="1">
      <alignment horizontal="center" vertical="center" wrapText="1"/>
    </xf>
    <xf numFmtId="0" fontId="6" fillId="7" borderId="1" xfId="3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0" borderId="0" xfId="0"/>
    <xf numFmtId="0" fontId="5" fillId="0" borderId="1" xfId="0" applyFon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6" fontId="0" fillId="4" borderId="2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9" fontId="5" fillId="0" borderId="1" xfId="1" applyNumberFormat="1" applyFont="1" applyBorder="1" applyAlignment="1">
      <alignment horizontal="center"/>
    </xf>
    <xf numFmtId="0" fontId="2" fillId="5" borderId="0" xfId="0" applyFont="1" applyFill="1"/>
    <xf numFmtId="0" fontId="9" fillId="0" borderId="3" xfId="0" applyFont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8" fontId="0" fillId="0" borderId="4" xfId="0" applyNumberFormat="1" applyBorder="1" applyAlignment="1">
      <alignment horizontal="right" vertical="center"/>
    </xf>
    <xf numFmtId="168" fontId="0" fillId="4" borderId="4" xfId="0" applyNumberFormat="1" applyFill="1" applyBorder="1" applyAlignment="1">
      <alignment horizontal="right" vertical="center"/>
    </xf>
    <xf numFmtId="168" fontId="0" fillId="3" borderId="1" xfId="0" applyNumberFormat="1" applyFill="1" applyBorder="1" applyAlignment="1">
      <alignment horizontal="right" vertical="center"/>
    </xf>
    <xf numFmtId="168" fontId="3" fillId="3" borderId="1" xfId="0" applyNumberFormat="1" applyFont="1" applyFill="1" applyBorder="1" applyAlignment="1">
      <alignment horizontal="right" vertical="center"/>
    </xf>
    <xf numFmtId="0" fontId="0" fillId="4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11" xfId="0" applyFont="1" applyBorder="1" applyAlignment="1">
      <alignment horizontal="left" vertical="center"/>
    </xf>
    <xf numFmtId="0" fontId="9" fillId="4" borderId="11" xfId="0" applyFont="1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4" fillId="3" borderId="5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3" fillId="8" borderId="3" xfId="0" applyFont="1" applyFill="1" applyBorder="1" applyAlignment="1">
      <alignment vertical="center"/>
    </xf>
    <xf numFmtId="0" fontId="3" fillId="8" borderId="4" xfId="0" applyFont="1" applyFill="1" applyBorder="1" applyAlignment="1">
      <alignment vertical="center"/>
    </xf>
    <xf numFmtId="0" fontId="0" fillId="8" borderId="8" xfId="0" applyFill="1" applyBorder="1" applyAlignment="1">
      <alignment vertical="center"/>
    </xf>
    <xf numFmtId="0" fontId="0" fillId="8" borderId="9" xfId="0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6" xfId="0" applyFill="1" applyBorder="1" applyAlignment="1">
      <alignment vertical="center"/>
    </xf>
    <xf numFmtId="0" fontId="0" fillId="8" borderId="1" xfId="0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2" borderId="1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</cellXfs>
  <cellStyles count="4">
    <cellStyle name="Hipervínculo" xfId="3" builtinId="8"/>
    <cellStyle name="Moneda [0] 2" xfId="2"/>
    <cellStyle name="Normal" xfId="0" builtinId="0"/>
    <cellStyle name="Porcentaje" xfId="1" builtinId="5"/>
  </cellStyles>
  <dxfs count="1">
    <dxf>
      <font>
        <color rgb="FFFF0000"/>
      </font>
      <fill>
        <patternFill>
          <fgColor rgb="FFFF0000"/>
          <bgColor theme="5" tint="0.59996337778862885"/>
        </patternFill>
      </fill>
    </dxf>
  </dxfs>
  <tableStyles count="0" defaultTableStyle="TableStyleMedium2" defaultPivotStyle="PivotStyleLight16"/>
  <colors>
    <mruColors>
      <color rgb="FFFFFB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2" fmlaLink="FACTURA!$G$9" max="31" min="1" page="10" val="5"/>
</file>

<file path=xl/ctrlProps/ctrlProp2.xml><?xml version="1.0" encoding="utf-8"?>
<formControlPr xmlns="http://schemas.microsoft.com/office/spreadsheetml/2009/9/main" objectType="Drop" dropStyle="combo" dx="16" fmlaLink="DATOS!$G$2" fmlaRange="DATOS!$G$4:$G$15" noThreeD="1" sel="12" val="4"/>
</file>

<file path=xl/ctrlProps/ctrlProp3.xml><?xml version="1.0" encoding="utf-8"?>
<formControlPr xmlns="http://schemas.microsoft.com/office/spreadsheetml/2009/9/main" objectType="Drop" dropStyle="combo" dx="16" fmlaLink="DATOS!$H$2" fmlaRange="DATOS!$H$4:$H$15" noThreeD="1" sel="5" val="4"/>
</file>

<file path=xl/ctrlProps/ctrlProp4.xml><?xml version="1.0" encoding="utf-8"?>
<formControlPr xmlns="http://schemas.microsoft.com/office/spreadsheetml/2009/9/main" objectType="Radio" firstButton="1" fmlaLink="DATOS!$H$27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CheckBox" checked="Checked" fmlaLink="DATOS!$H$20" lockText="1" noThreeD="1"/>
</file>

<file path=xl/ctrlProps/ctrlProp9.xml><?xml version="1.0" encoding="utf-8"?>
<formControlPr xmlns="http://schemas.microsoft.com/office/spreadsheetml/2009/9/main" objectType="CheckBox" checked="Checked" fmlaLink="DATOS!$H$21" lockText="1" noThreeD="1"/>
</file>

<file path=xl/ctrlProps/ctrlProp10.xml><?xml version="1.0" encoding="utf-8"?>
<formControlPr xmlns="http://schemas.microsoft.com/office/spreadsheetml/2009/9/main" objectType="CheckBox" checked="Checked" fmlaLink="DATOS!$H$22" lockText="1" noThreeD="1"/>
</file>

<file path=xl/ctrlProps/ctrlProp1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419099</xdr:colOff>
      <xdr:row>0</xdr:row>
      <xdr:rowOff>180975</xdr:rowOff>
    </xdr:from>
    <xdr:to>
      <xdr:col>1</xdr:col>
      <xdr:colOff>1247774</xdr:colOff>
      <xdr:row>3</xdr:row>
      <xdr:rowOff>209550</xdr:rowOff>
    </xdr:to>
    <xdr:pic>
      <xdr:nvPicPr>
        <xdr:cNvPr id="2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180975"/>
          <a:ext cx="828675" cy="695325"/>
        </a:xfrm>
        <a:prstGeom prst="rect">
          <a:avLst/>
        </a:prstGeom>
      </xdr:spPr>
    </xdr:pic>
    <xdr:clientData/>
  </xdr:twoCellAnchor>
  <xdr:twoCellAnchor editAs="oneCell">
    <xdr:from>
      <xdr:col>8</xdr:col>
      <xdr:colOff>847724</xdr:colOff>
      <xdr:row>0</xdr:row>
      <xdr:rowOff>171450</xdr:rowOff>
    </xdr:from>
    <xdr:to>
      <xdr:col>8</xdr:col>
      <xdr:colOff>1667796</xdr:colOff>
      <xdr:row>3</xdr:row>
      <xdr:rowOff>200025</xdr:rowOff>
    </xdr:to>
    <xdr:pic>
      <xdr:nvPicPr>
        <xdr:cNvPr id="3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4" y="171450"/>
          <a:ext cx="820072" cy="695325"/>
        </a:xfrm>
        <a:prstGeom prst="rect">
          <a:avLst/>
        </a:prstGeom>
      </xdr:spPr>
    </xdr:pic>
    <xdr:clientData/>
  </xdr:twoCellAnchor>
  <xdr:oneCellAnchor>
    <xdr:from>
      <xdr:col>3</xdr:col>
      <xdr:colOff>137857</xdr:colOff>
      <xdr:row>1</xdr:row>
      <xdr:rowOff>46908</xdr:rowOff>
    </xdr:from>
    <xdr:ext cx="4027385" cy="381836"/>
    <xdr:sp macro="" textlink="">
      <xdr:nvSpPr>
        <xdr:cNvPr id="4" name="CuadroTexto 3"/>
        <xdr:cNvSpPr txBox="1"/>
      </xdr:nvSpPr>
      <xdr:spPr>
        <a:xfrm>
          <a:off x="2366707" y="237408"/>
          <a:ext cx="4027385" cy="3818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2000" b="1">
              <a:latin typeface="Berlin Sans FB Demi" panose="020E0802020502020306" pitchFamily="34" charset="0"/>
            </a:rPr>
            <a:t>RESTAURANTE SAZÓN &amp; FÚTBOL</a:t>
          </a:r>
        </a:p>
      </xdr:txBody>
    </xdr:sp>
    <xdr:clientData/>
  </xdr:oneCellAnchor>
  <xdr:oneCellAnchor>
    <xdr:from>
      <xdr:col>3</xdr:col>
      <xdr:colOff>305927</xdr:colOff>
      <xdr:row>2</xdr:row>
      <xdr:rowOff>133350</xdr:rowOff>
    </xdr:from>
    <xdr:ext cx="3590727" cy="311496"/>
    <xdr:sp macro="" textlink="">
      <xdr:nvSpPr>
        <xdr:cNvPr id="5" name="CuadroTexto 4"/>
        <xdr:cNvSpPr txBox="1"/>
      </xdr:nvSpPr>
      <xdr:spPr>
        <a:xfrm>
          <a:off x="2534777" y="561975"/>
          <a:ext cx="35907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400" b="1">
              <a:latin typeface="+mn-lt"/>
            </a:rPr>
            <a:t>SAZÓN Y SABOR EL FÚTBOL NUESTRA PASIÓN</a:t>
          </a:r>
        </a:p>
      </xdr:txBody>
    </xdr:sp>
    <xdr:clientData/>
  </xdr:oneCellAnchor>
  <xdr:twoCellAnchor>
    <xdr:from>
      <xdr:col>1</xdr:col>
      <xdr:colOff>352425</xdr:colOff>
      <xdr:row>28</xdr:row>
      <xdr:rowOff>57150</xdr:rowOff>
    </xdr:from>
    <xdr:to>
      <xdr:col>4</xdr:col>
      <xdr:colOff>200025</xdr:colOff>
      <xdr:row>28</xdr:row>
      <xdr:rowOff>66675</xdr:rowOff>
    </xdr:to>
    <xdr:cxnSp macro="">
      <xdr:nvCxnSpPr>
        <xdr:cNvPr id="7" name="Conector recto 6"/>
        <xdr:cNvCxnSpPr/>
      </xdr:nvCxnSpPr>
      <xdr:spPr>
        <a:xfrm>
          <a:off x="561975" y="5724525"/>
          <a:ext cx="2324100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7</xdr:row>
          <xdr:rowOff>190500</xdr:rowOff>
        </xdr:from>
        <xdr:to>
          <xdr:col>7</xdr:col>
          <xdr:colOff>0</xdr:colOff>
          <xdr:row>8</xdr:row>
          <xdr:rowOff>180975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31</xdr:row>
          <xdr:rowOff>114300</xdr:rowOff>
        </xdr:from>
        <xdr:to>
          <xdr:col>8</xdr:col>
          <xdr:colOff>1800225</xdr:colOff>
          <xdr:row>32</xdr:row>
          <xdr:rowOff>133350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TARJETA DE DÉBITO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32</xdr:row>
          <xdr:rowOff>114300</xdr:rowOff>
        </xdr:from>
        <xdr:to>
          <xdr:col>8</xdr:col>
          <xdr:colOff>1762125</xdr:colOff>
          <xdr:row>33</xdr:row>
          <xdr:rowOff>104775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TARJETA DE 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33</xdr:row>
          <xdr:rowOff>95250</xdr:rowOff>
        </xdr:from>
        <xdr:to>
          <xdr:col>8</xdr:col>
          <xdr:colOff>1276350</xdr:colOff>
          <xdr:row>34</xdr:row>
          <xdr:rowOff>114300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EFECTIVO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31</xdr:row>
          <xdr:rowOff>0</xdr:rowOff>
        </xdr:from>
        <xdr:to>
          <xdr:col>8</xdr:col>
          <xdr:colOff>1847850</xdr:colOff>
          <xdr:row>35</xdr:row>
          <xdr:rowOff>9525</xdr:rowOff>
        </xdr:to>
        <xdr:sp macro="" textlink="">
          <xdr:nvSpPr>
            <xdr:cNvPr id="1042" name="Group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MEDIO DE PAGO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31</xdr:row>
          <xdr:rowOff>142875</xdr:rowOff>
        </xdr:from>
        <xdr:to>
          <xdr:col>1</xdr:col>
          <xdr:colOff>1304925</xdr:colOff>
          <xdr:row>33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POSTRE GRATUITO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32</xdr:row>
          <xdr:rowOff>152400</xdr:rowOff>
        </xdr:from>
        <xdr:to>
          <xdr:col>2</xdr:col>
          <xdr:colOff>85725</xdr:colOff>
          <xdr:row>34</xdr:row>
          <xdr:rowOff>9525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BONO 15% DESCUENTO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33</xdr:row>
          <xdr:rowOff>161925</xdr:rowOff>
        </xdr:from>
        <xdr:to>
          <xdr:col>1</xdr:col>
          <xdr:colOff>1428750</xdr:colOff>
          <xdr:row>35</xdr:row>
          <xdr:rowOff>19050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INVITACIÓN EVENTO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31</xdr:row>
          <xdr:rowOff>28575</xdr:rowOff>
        </xdr:from>
        <xdr:to>
          <xdr:col>2</xdr:col>
          <xdr:colOff>76200</xdr:colOff>
          <xdr:row>35</xdr:row>
          <xdr:rowOff>57150</xdr:rowOff>
        </xdr:to>
        <xdr:sp macro="" textlink="">
          <xdr:nvSpPr>
            <xdr:cNvPr id="1046" name="Group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OBSERVACIONES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247650</xdr:colOff>
      <xdr:row>9</xdr:row>
      <xdr:rowOff>85725</xdr:rowOff>
    </xdr:from>
    <xdr:to>
      <xdr:col>5</xdr:col>
      <xdr:colOff>828675</xdr:colOff>
      <xdr:row>12</xdr:row>
      <xdr:rowOff>95250</xdr:rowOff>
    </xdr:to>
    <xdr:pic>
      <xdr:nvPicPr>
        <xdr:cNvPr id="21" name="Imagen 20" descr="Resultado de imagen para codigo de barras 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" y="1943100"/>
          <a:ext cx="58102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37</xdr:row>
          <xdr:rowOff>47625</xdr:rowOff>
        </xdr:from>
        <xdr:to>
          <xdr:col>1</xdr:col>
          <xdr:colOff>1343025</xdr:colOff>
          <xdr:row>38</xdr:row>
          <xdr:rowOff>161925</xdr:rowOff>
        </xdr:to>
        <xdr:sp macro="" textlink="">
          <xdr:nvSpPr>
            <xdr:cNvPr id="1047" name="cmdcliente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37</xdr:row>
          <xdr:rowOff>47625</xdr:rowOff>
        </xdr:from>
        <xdr:to>
          <xdr:col>4</xdr:col>
          <xdr:colOff>219075</xdr:colOff>
          <xdr:row>38</xdr:row>
          <xdr:rowOff>161925</xdr:rowOff>
        </xdr:to>
        <xdr:sp macro="" textlink="">
          <xdr:nvSpPr>
            <xdr:cNvPr id="1049" name="cmdservici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37</xdr:row>
          <xdr:rowOff>47625</xdr:rowOff>
        </xdr:from>
        <xdr:to>
          <xdr:col>8</xdr:col>
          <xdr:colOff>1828800</xdr:colOff>
          <xdr:row>38</xdr:row>
          <xdr:rowOff>161925</xdr:rowOff>
        </xdr:to>
        <xdr:sp macro="" textlink="">
          <xdr:nvSpPr>
            <xdr:cNvPr id="1050" name="cmdlimpiar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37</xdr:row>
          <xdr:rowOff>47625</xdr:rowOff>
        </xdr:from>
        <xdr:to>
          <xdr:col>7</xdr:col>
          <xdr:colOff>647700</xdr:colOff>
          <xdr:row>38</xdr:row>
          <xdr:rowOff>161925</xdr:rowOff>
        </xdr:to>
        <xdr:sp macro="" textlink="">
          <xdr:nvSpPr>
            <xdr:cNvPr id="1053" name="cmdpdf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37</xdr:row>
          <xdr:rowOff>47625</xdr:rowOff>
        </xdr:from>
        <xdr:to>
          <xdr:col>6</xdr:col>
          <xdr:colOff>104775</xdr:colOff>
          <xdr:row>38</xdr:row>
          <xdr:rowOff>161925</xdr:rowOff>
        </xdr:to>
        <xdr:sp macro="" textlink="">
          <xdr:nvSpPr>
            <xdr:cNvPr id="1056" name="cmdtota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8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natirodriguez@hotmail.com" TargetMode="External"/><Relationship Id="rId13" Type="http://schemas.openxmlformats.org/officeDocument/2006/relationships/hyperlink" Target="mailto:marisas@hotmail.com" TargetMode="External"/><Relationship Id="rId18" Type="http://schemas.openxmlformats.org/officeDocument/2006/relationships/hyperlink" Target="mailto:gustacas@hotmail.com" TargetMode="External"/><Relationship Id="rId3" Type="http://schemas.openxmlformats.org/officeDocument/2006/relationships/hyperlink" Target="mailto:luismon@gmail.com" TargetMode="External"/><Relationship Id="rId21" Type="http://schemas.openxmlformats.org/officeDocument/2006/relationships/hyperlink" Target="mailto:migue-mazo@gmail.es" TargetMode="External"/><Relationship Id="rId7" Type="http://schemas.openxmlformats.org/officeDocument/2006/relationships/hyperlink" Target="mailto:arnulmeji@hotmail.es" TargetMode="External"/><Relationship Id="rId12" Type="http://schemas.openxmlformats.org/officeDocument/2006/relationships/hyperlink" Target="mailto:luisapala@gmail.com" TargetMode="External"/><Relationship Id="rId17" Type="http://schemas.openxmlformats.org/officeDocument/2006/relationships/hyperlink" Target="mailto:juan_gonza@gmail.com" TargetMode="External"/><Relationship Id="rId2" Type="http://schemas.openxmlformats.org/officeDocument/2006/relationships/hyperlink" Target="mailto:santiago-1997@hotmail.es" TargetMode="External"/><Relationship Id="rId16" Type="http://schemas.openxmlformats.org/officeDocument/2006/relationships/hyperlink" Target="mailto:crispani@hotmail.com" TargetMode="External"/><Relationship Id="rId20" Type="http://schemas.openxmlformats.org/officeDocument/2006/relationships/hyperlink" Target="mailto:carlos.pinto@hotmail.com" TargetMode="External"/><Relationship Id="rId1" Type="http://schemas.openxmlformats.org/officeDocument/2006/relationships/hyperlink" Target="mailto:diego_app1997@hotmail.com" TargetMode="External"/><Relationship Id="rId6" Type="http://schemas.openxmlformats.org/officeDocument/2006/relationships/hyperlink" Target="mailto:arangojose@gmail.com" TargetMode="External"/><Relationship Id="rId11" Type="http://schemas.openxmlformats.org/officeDocument/2006/relationships/hyperlink" Target="mailto:geral1213@hotmail.com" TargetMode="External"/><Relationship Id="rId5" Type="http://schemas.openxmlformats.org/officeDocument/2006/relationships/hyperlink" Target="mailto:pedrop@hotmail.com" TargetMode="External"/><Relationship Id="rId15" Type="http://schemas.openxmlformats.org/officeDocument/2006/relationships/hyperlink" Target="mailto:isaguerra@hotmail.com" TargetMode="External"/><Relationship Id="rId10" Type="http://schemas.openxmlformats.org/officeDocument/2006/relationships/hyperlink" Target="mailto:anguie-guisao@hotmail.com" TargetMode="External"/><Relationship Id="rId19" Type="http://schemas.openxmlformats.org/officeDocument/2006/relationships/hyperlink" Target="mailto:rafapati&#241;o@hotmail.es" TargetMode="External"/><Relationship Id="rId4" Type="http://schemas.openxmlformats.org/officeDocument/2006/relationships/hyperlink" Target="mailto:lucas_perez@hotmail.com" TargetMode="External"/><Relationship Id="rId9" Type="http://schemas.openxmlformats.org/officeDocument/2006/relationships/hyperlink" Target="mailto:caroc@gmail.com" TargetMode="External"/><Relationship Id="rId14" Type="http://schemas.openxmlformats.org/officeDocument/2006/relationships/hyperlink" Target="mailto:becerramanu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C000"/>
  </sheetPr>
  <dimension ref="B2:Q39"/>
  <sheetViews>
    <sheetView showGridLines="0" tabSelected="1" zoomScaleNormal="100" workbookViewId="0">
      <selection activeCell="B2" sqref="B2:I4"/>
    </sheetView>
  </sheetViews>
  <sheetFormatPr baseColWidth="10" defaultRowHeight="15" x14ac:dyDescent="0.25"/>
  <cols>
    <col min="1" max="1" width="3.140625" customWidth="1"/>
    <col min="2" max="2" width="22.42578125" customWidth="1"/>
    <col min="3" max="3" width="7.85546875" customWidth="1"/>
    <col min="4" max="5" width="9.42578125" customWidth="1"/>
    <col min="6" max="6" width="16.28515625" customWidth="1"/>
    <col min="7" max="7" width="11.28515625" customWidth="1"/>
    <col min="8" max="8" width="13.5703125" customWidth="1"/>
    <col min="9" max="9" width="32" bestFit="1" customWidth="1"/>
    <col min="10" max="10" width="3.140625" customWidth="1"/>
  </cols>
  <sheetData>
    <row r="2" spans="2:17" ht="18.75" customHeight="1" x14ac:dyDescent="0.25">
      <c r="B2" s="68"/>
      <c r="C2" s="69"/>
      <c r="D2" s="69"/>
      <c r="E2" s="69"/>
      <c r="F2" s="69"/>
      <c r="G2" s="69"/>
      <c r="H2" s="69"/>
      <c r="I2" s="70"/>
    </row>
    <row r="3" spans="2:17" ht="18.75" customHeight="1" x14ac:dyDescent="0.25">
      <c r="B3" s="71"/>
      <c r="C3" s="72"/>
      <c r="D3" s="72"/>
      <c r="E3" s="72"/>
      <c r="F3" s="72"/>
      <c r="G3" s="72"/>
      <c r="H3" s="72"/>
      <c r="I3" s="73"/>
    </row>
    <row r="4" spans="2:17" ht="18.75" customHeight="1" x14ac:dyDescent="0.25">
      <c r="B4" s="74"/>
      <c r="C4" s="75"/>
      <c r="D4" s="75"/>
      <c r="E4" s="75"/>
      <c r="F4" s="75"/>
      <c r="G4" s="75"/>
      <c r="H4" s="75"/>
      <c r="I4" s="76"/>
    </row>
    <row r="5" spans="2:17" x14ac:dyDescent="0.25">
      <c r="B5" s="77" t="s">
        <v>0</v>
      </c>
      <c r="C5" s="78"/>
      <c r="D5" s="105">
        <v>1</v>
      </c>
      <c r="E5" s="1"/>
      <c r="F5" s="1"/>
      <c r="G5" s="1"/>
      <c r="H5" s="1"/>
      <c r="I5" s="2"/>
    </row>
    <row r="7" spans="2:17" x14ac:dyDescent="0.25">
      <c r="B7" s="79" t="s">
        <v>1</v>
      </c>
      <c r="C7" s="80"/>
      <c r="D7" s="80"/>
      <c r="E7" s="80"/>
      <c r="F7" s="80"/>
      <c r="G7" s="80"/>
      <c r="H7" s="80"/>
      <c r="I7" s="81"/>
    </row>
    <row r="8" spans="2:17" x14ac:dyDescent="0.25">
      <c r="B8" s="5" t="s">
        <v>2</v>
      </c>
      <c r="C8" s="83"/>
      <c r="D8" s="83"/>
      <c r="E8" s="83"/>
      <c r="F8" s="84" t="s">
        <v>8</v>
      </c>
      <c r="G8" s="6" t="s">
        <v>9</v>
      </c>
      <c r="H8" s="6" t="s">
        <v>10</v>
      </c>
      <c r="I8" s="6" t="s">
        <v>11</v>
      </c>
    </row>
    <row r="9" spans="2:17" x14ac:dyDescent="0.25">
      <c r="B9" s="5" t="s">
        <v>3</v>
      </c>
      <c r="C9" s="82" t="str">
        <f>PROPER(IFERROR(VLOOKUP(C8,CLIENTES!$A$1:$G$38,2,FALSE)&amp;" "&amp;VLOOKUP(C8,CLIENTES!$A$1:$G$38,3,FALSE)," "))</f>
        <v xml:space="preserve"> </v>
      </c>
      <c r="D9" s="82"/>
      <c r="E9" s="82"/>
      <c r="F9" s="85"/>
      <c r="G9" s="49">
        <v>5</v>
      </c>
      <c r="H9" s="4">
        <v>8</v>
      </c>
      <c r="I9" s="4"/>
    </row>
    <row r="10" spans="2:17" ht="15" customHeight="1" x14ac:dyDescent="0.25">
      <c r="B10" s="5" t="s">
        <v>4</v>
      </c>
      <c r="C10" s="82" t="str">
        <f>IFERROR(VLOOKUP(C8,CLIENTES!$A$1:$G$38,4,FALSE)," ")</f>
        <v xml:space="preserve"> </v>
      </c>
      <c r="D10" s="82"/>
      <c r="E10" s="82"/>
      <c r="F10" s="94"/>
      <c r="G10" s="88" t="s">
        <v>154</v>
      </c>
      <c r="H10" s="88"/>
      <c r="I10" s="89"/>
    </row>
    <row r="11" spans="2:17" x14ac:dyDescent="0.25">
      <c r="B11" s="5" t="s">
        <v>5</v>
      </c>
      <c r="C11" s="82" t="str">
        <f>IFERROR(VLOOKUP(C8,CLIENTES!$A$1:$G$38,5,FALSE)," ")</f>
        <v xml:space="preserve"> </v>
      </c>
      <c r="D11" s="82"/>
      <c r="E11" s="82"/>
      <c r="F11" s="94"/>
      <c r="G11" s="92" t="s">
        <v>155</v>
      </c>
      <c r="H11" s="92"/>
      <c r="I11" s="93"/>
    </row>
    <row r="12" spans="2:17" x14ac:dyDescent="0.25">
      <c r="B12" s="5" t="s">
        <v>6</v>
      </c>
      <c r="C12" s="82" t="str">
        <f>IFERROR(VLOOKUP(C8,CLIENTES!$A$1:$G$38,6,FALSE)," ")</f>
        <v xml:space="preserve"> </v>
      </c>
      <c r="D12" s="82"/>
      <c r="E12" s="82"/>
      <c r="F12" s="94"/>
      <c r="G12" s="92" t="s">
        <v>156</v>
      </c>
      <c r="H12" s="92"/>
      <c r="I12" s="93"/>
    </row>
    <row r="13" spans="2:17" x14ac:dyDescent="0.25">
      <c r="B13" s="5" t="s">
        <v>7</v>
      </c>
      <c r="C13" s="82" t="str">
        <f>PROPER(IFERROR(VLOOKUP(C8,CLIENTES!$A$1:$G$38,7,FALSE)," "))</f>
        <v xml:space="preserve"> </v>
      </c>
      <c r="D13" s="82"/>
      <c r="E13" s="82"/>
      <c r="F13" s="94"/>
      <c r="G13" s="90" t="s">
        <v>157</v>
      </c>
      <c r="H13" s="90"/>
      <c r="I13" s="91"/>
    </row>
    <row r="15" spans="2:17" ht="30" x14ac:dyDescent="0.25">
      <c r="B15" s="7" t="s">
        <v>12</v>
      </c>
      <c r="C15" s="95" t="s">
        <v>144</v>
      </c>
      <c r="D15" s="96"/>
      <c r="E15" s="96"/>
      <c r="F15" s="96" t="s">
        <v>143</v>
      </c>
      <c r="G15" s="96"/>
      <c r="H15" s="8" t="s">
        <v>13</v>
      </c>
      <c r="I15" s="8" t="s">
        <v>14</v>
      </c>
    </row>
    <row r="16" spans="2:17" x14ac:dyDescent="0.25">
      <c r="B16" s="46"/>
      <c r="C16" s="64" t="str">
        <f>PROPER(IFERROR(VLOOKUP(B16,DATOS!$A$1:$D$39,2,FALSE)," "))</f>
        <v xml:space="preserve"> </v>
      </c>
      <c r="D16" s="64"/>
      <c r="E16" s="64"/>
      <c r="F16" s="61" t="str">
        <f>IFERROR(VLOOKUP(B16,DATOS!$A$1:$D$39,3,FALSE)," ")</f>
        <v xml:space="preserve"> </v>
      </c>
      <c r="G16" s="61"/>
      <c r="H16" s="53"/>
      <c r="I16" s="56" t="str">
        <f>IFERROR(IF(H16&lt;=VLOOKUP(B16,DATOS!$A$1:$D$39,4,FALSE),F16*H16,"NO HAY ESA CANTIDAD REALIZADA")," ")</f>
        <v xml:space="preserve"> </v>
      </c>
      <c r="Q16" s="44"/>
    </row>
    <row r="17" spans="2:17" x14ac:dyDescent="0.25">
      <c r="B17" s="48"/>
      <c r="C17" s="63" t="str">
        <f>PROPER(IFERROR(VLOOKUP(B17,DATOS!$A$1:$D$39,2,FALSE)," "))</f>
        <v xml:space="preserve"> </v>
      </c>
      <c r="D17" s="63"/>
      <c r="E17" s="63"/>
      <c r="F17" s="60" t="str">
        <f>IFERROR(VLOOKUP(B17,DATOS!$A$1:$D$39,3,FALSE)," ")</f>
        <v xml:space="preserve"> </v>
      </c>
      <c r="G17" s="60"/>
      <c r="H17" s="54"/>
      <c r="I17" s="57" t="str">
        <f>IFERROR(IF(H17&lt;=VLOOKUP(B17,DATOS!$A$1:$D$39,4,FALSE),F17*H17,"NO HAY ESA CANTIDAD REALIZADA")," ")</f>
        <v xml:space="preserve"> </v>
      </c>
      <c r="Q17" s="44"/>
    </row>
    <row r="18" spans="2:17" x14ac:dyDescent="0.25">
      <c r="B18" s="46"/>
      <c r="C18" s="62" t="str">
        <f>PROPER(IFERROR(VLOOKUP(B18,DATOS!$A$1:$D$39,2,FALSE)," "))</f>
        <v xml:space="preserve"> </v>
      </c>
      <c r="D18" s="62"/>
      <c r="E18" s="62"/>
      <c r="F18" s="61" t="str">
        <f>IFERROR(VLOOKUP(B18,DATOS!$A$1:$D$39,3,FALSE)," ")</f>
        <v xml:space="preserve"> </v>
      </c>
      <c r="G18" s="61"/>
      <c r="H18" s="55"/>
      <c r="I18" s="56" t="str">
        <f>IFERROR(IF(H18&lt;=VLOOKUP(B18,DATOS!$A$1:$D$39,4,FALSE),F18*H18,"NO HAY ESA CANTIDAD REALIZADA")," ")</f>
        <v xml:space="preserve"> </v>
      </c>
      <c r="Q18" s="44"/>
    </row>
    <row r="19" spans="2:17" x14ac:dyDescent="0.25">
      <c r="B19" s="48"/>
      <c r="C19" s="63" t="str">
        <f>PROPER(IFERROR(VLOOKUP(B19,DATOS!$A$1:$D$39,2,FALSE)," "))</f>
        <v xml:space="preserve"> </v>
      </c>
      <c r="D19" s="63"/>
      <c r="E19" s="63"/>
      <c r="F19" s="60" t="str">
        <f>IFERROR(VLOOKUP(B19,DATOS!$A$1:$D$39,3,FALSE)," ")</f>
        <v xml:space="preserve"> </v>
      </c>
      <c r="G19" s="60"/>
      <c r="H19" s="54"/>
      <c r="I19" s="57" t="str">
        <f>IFERROR(IF(H19&lt;=VLOOKUP(B19,DATOS!$A$1:$D$39,4,FALSE),F19*H19,"NO HAY ESA CANTIDAD REALIZADA")," ")</f>
        <v xml:space="preserve"> </v>
      </c>
      <c r="Q19" s="44"/>
    </row>
    <row r="20" spans="2:17" x14ac:dyDescent="0.25">
      <c r="B20" s="46"/>
      <c r="C20" s="62" t="str">
        <f>PROPER(IFERROR(VLOOKUP(B20,DATOS!$A$1:$D$39,2,FALSE)," "))</f>
        <v xml:space="preserve"> </v>
      </c>
      <c r="D20" s="62"/>
      <c r="E20" s="62"/>
      <c r="F20" s="61" t="str">
        <f>IFERROR(VLOOKUP(B20,DATOS!$A$1:$D$39,3,FALSE)," ")</f>
        <v xml:space="preserve"> </v>
      </c>
      <c r="G20" s="61"/>
      <c r="H20" s="55"/>
      <c r="I20" s="56" t="str">
        <f>IFERROR(IF(H20&lt;=VLOOKUP(B20,DATOS!$A$1:$D$39,4,FALSE),F20*H20,"NO HAY ESA CANTIDAD REALIZADA")," ")</f>
        <v xml:space="preserve"> </v>
      </c>
    </row>
    <row r="21" spans="2:17" x14ac:dyDescent="0.25">
      <c r="B21" s="48"/>
      <c r="C21" s="63" t="str">
        <f>PROPER(IFERROR(VLOOKUP(B21,DATOS!$A$1:$D$39,2,FALSE)," "))</f>
        <v xml:space="preserve"> </v>
      </c>
      <c r="D21" s="63"/>
      <c r="E21" s="63"/>
      <c r="F21" s="60" t="str">
        <f>IFERROR(VLOOKUP(B21,DATOS!$A$1:$D$39,3,FALSE)," ")</f>
        <v xml:space="preserve"> </v>
      </c>
      <c r="G21" s="60"/>
      <c r="H21" s="54"/>
      <c r="I21" s="57" t="str">
        <f>IFERROR(IF(H21&lt;=VLOOKUP(B21,DATOS!$A$1:$D$39,4,FALSE),F21*H21,"NO HAY ESA CANTIDAD REALIZADA")," ")</f>
        <v xml:space="preserve"> </v>
      </c>
    </row>
    <row r="22" spans="2:17" x14ac:dyDescent="0.25">
      <c r="B22" s="46"/>
      <c r="C22" s="62" t="str">
        <f>PROPER(IFERROR(VLOOKUP(B22,DATOS!$A$1:$D$39,2,FALSE)," "))</f>
        <v xml:space="preserve"> </v>
      </c>
      <c r="D22" s="62"/>
      <c r="E22" s="62"/>
      <c r="F22" s="61" t="str">
        <f>IFERROR(VLOOKUP(B22,DATOS!$A$1:$D$39,3,FALSE)," ")</f>
        <v xml:space="preserve"> </v>
      </c>
      <c r="G22" s="61"/>
      <c r="H22" s="55"/>
      <c r="I22" s="56" t="str">
        <f>IFERROR(IF(H22&lt;=VLOOKUP(B22,DATOS!$A$1:$D$39,4,FALSE),F22*H22,"NO HAY ESA CANTIDAD REALIZADA")," ")</f>
        <v xml:space="preserve"> </v>
      </c>
    </row>
    <row r="23" spans="2:17" x14ac:dyDescent="0.25">
      <c r="B23" s="48"/>
      <c r="C23" s="63" t="str">
        <f>PROPER(IFERROR(VLOOKUP(B23,DATOS!$A$1:$D$39,2,FALSE)," "))</f>
        <v xml:space="preserve"> </v>
      </c>
      <c r="D23" s="63"/>
      <c r="E23" s="63"/>
      <c r="F23" s="60" t="str">
        <f>IFERROR(VLOOKUP(B23,DATOS!$A$1:$D$39,3,FALSE)," ")</f>
        <v xml:space="preserve"> </v>
      </c>
      <c r="G23" s="60"/>
      <c r="H23" s="54"/>
      <c r="I23" s="57" t="str">
        <f>IFERROR(IF(H23&lt;=VLOOKUP(B23,DATOS!$A$1:$D$39,4,FALSE),F23*H23,"NO HAY ESA CANTIDAD REALIZADA")," ")</f>
        <v xml:space="preserve"> </v>
      </c>
    </row>
    <row r="24" spans="2:17" x14ac:dyDescent="0.25">
      <c r="B24" s="46"/>
      <c r="C24" s="62" t="str">
        <f>PROPER(IFERROR(VLOOKUP(B24,DATOS!$A$1:$D$39,2,FALSE)," "))</f>
        <v xml:space="preserve"> </v>
      </c>
      <c r="D24" s="62"/>
      <c r="E24" s="62"/>
      <c r="F24" s="61" t="str">
        <f>IFERROR(VLOOKUP(B24,DATOS!$A$1:$D$39,3,FALSE)," ")</f>
        <v xml:space="preserve"> </v>
      </c>
      <c r="G24" s="61"/>
      <c r="H24" s="55"/>
      <c r="I24" s="56" t="str">
        <f>IFERROR(IF(H24&lt;=VLOOKUP(B24,DATOS!$A$1:$D$39,4,FALSE),F24*H24,"NO HAY ESA CANTIDAD REALIZADA")," ")</f>
        <v xml:space="preserve"> </v>
      </c>
    </row>
    <row r="25" spans="2:17" x14ac:dyDescent="0.25">
      <c r="B25" s="48"/>
      <c r="C25" s="63" t="str">
        <f>PROPER(IFERROR(VLOOKUP(B25,DATOS!$A$1:$D$39,2,FALSE)," "))</f>
        <v xml:space="preserve"> </v>
      </c>
      <c r="D25" s="63"/>
      <c r="E25" s="63"/>
      <c r="F25" s="60" t="str">
        <f>IFERROR(VLOOKUP(B25,DATOS!$A$1:$D$39,3,FALSE)," ")</f>
        <v xml:space="preserve"> </v>
      </c>
      <c r="G25" s="60"/>
      <c r="H25" s="54"/>
      <c r="I25" s="57" t="str">
        <f>IFERROR(IF(H25&lt;=VLOOKUP(B25,DATOS!$A$1:$D$39,4,FALSE),F25*H25,"NO HAY ESA CANTIDAD REALIZADA")," ")</f>
        <v xml:space="preserve"> </v>
      </c>
    </row>
    <row r="26" spans="2:17" x14ac:dyDescent="0.25">
      <c r="B26" s="47"/>
      <c r="C26" s="62" t="str">
        <f>PROPER(IFERROR(VLOOKUP(B26,DATOS!$A$1:$D$39,2,FALSE)," "))</f>
        <v xml:space="preserve"> </v>
      </c>
      <c r="D26" s="62"/>
      <c r="E26" s="62"/>
      <c r="F26" s="61" t="str">
        <f>IFERROR(VLOOKUP(B26,DATOS!$A$1:$D$39,3,FALSE)," ")</f>
        <v xml:space="preserve"> </v>
      </c>
      <c r="G26" s="61"/>
      <c r="H26" s="55"/>
      <c r="I26" s="56" t="str">
        <f>IFERROR(IF(H26&lt;=VLOOKUP(B26,DATOS!$A$1:$D$39,4,FALSE),F26*H26,"NO HAY ESA CANTIDAD REALIZADA")," ")</f>
        <v xml:space="preserve"> </v>
      </c>
    </row>
    <row r="27" spans="2:17" x14ac:dyDescent="0.25">
      <c r="B27" s="12"/>
      <c r="C27" s="10"/>
      <c r="D27" s="10"/>
      <c r="E27" s="11"/>
      <c r="F27" s="100" t="s">
        <v>150</v>
      </c>
      <c r="G27" s="100"/>
      <c r="H27" s="100"/>
      <c r="I27" s="58">
        <f>SUM(I16:I26)</f>
        <v>0</v>
      </c>
    </row>
    <row r="28" spans="2:17" x14ac:dyDescent="0.25">
      <c r="B28" s="65" t="s">
        <v>147</v>
      </c>
      <c r="C28" s="66"/>
      <c r="D28" s="66"/>
      <c r="E28" s="67"/>
      <c r="F28" s="100" t="s">
        <v>151</v>
      </c>
      <c r="G28" s="100"/>
      <c r="H28" s="100"/>
      <c r="I28" s="58">
        <f>IF(DATOS!H27=1,FACTURA!I27*DATOS!G27,IF(DATOS!H27=2,FACTURA!I27*DATOS!G28,FACTURA!I27*DATOS!G29))</f>
        <v>0</v>
      </c>
    </row>
    <row r="29" spans="2:17" x14ac:dyDescent="0.25">
      <c r="B29" s="12"/>
      <c r="C29" s="13"/>
      <c r="D29" s="13"/>
      <c r="E29" s="14"/>
      <c r="F29" s="100" t="s">
        <v>152</v>
      </c>
      <c r="G29" s="100"/>
      <c r="H29" s="9">
        <v>0.16</v>
      </c>
      <c r="I29" s="58">
        <f>(I27-I28)*$H$29</f>
        <v>0</v>
      </c>
    </row>
    <row r="30" spans="2:17" x14ac:dyDescent="0.25">
      <c r="B30" s="97" t="s">
        <v>15</v>
      </c>
      <c r="C30" s="98"/>
      <c r="D30" s="98"/>
      <c r="E30" s="99"/>
      <c r="F30" s="100" t="s">
        <v>153</v>
      </c>
      <c r="G30" s="100"/>
      <c r="H30" s="100"/>
      <c r="I30" s="59"/>
    </row>
    <row r="31" spans="2:17" x14ac:dyDescent="0.25">
      <c r="B31" s="21"/>
      <c r="C31" s="22"/>
      <c r="D31" s="22"/>
      <c r="E31" s="22"/>
      <c r="F31" s="22"/>
      <c r="G31" s="22"/>
      <c r="H31" s="22"/>
      <c r="I31" s="23"/>
    </row>
    <row r="32" spans="2:17" x14ac:dyDescent="0.25">
      <c r="B32" s="24"/>
      <c r="C32" s="25"/>
      <c r="D32" s="25"/>
      <c r="E32" s="25"/>
      <c r="F32" s="25"/>
      <c r="G32" s="25"/>
      <c r="H32" s="25"/>
      <c r="I32" s="26"/>
    </row>
    <row r="33" spans="2:9" x14ac:dyDescent="0.25">
      <c r="B33" s="24"/>
      <c r="C33" s="52"/>
      <c r="D33" s="86" t="str">
        <f>IF(DATOS!H20=TRUE,DATOS!G20,"NO TIENE DERECHO A POSTRE ")</f>
        <v>CLIENTE RECLAMA TOTALMENTE GRATIS UN POSTRE</v>
      </c>
      <c r="E33" s="86"/>
      <c r="F33" s="86"/>
      <c r="G33" s="86"/>
      <c r="H33" s="86"/>
      <c r="I33" s="26"/>
    </row>
    <row r="34" spans="2:9" x14ac:dyDescent="0.25">
      <c r="B34" s="24"/>
      <c r="C34" s="52"/>
      <c r="D34" s="87" t="str">
        <f>IF(DATOS!H21=TRUE,DATOS!G21,"NO TIENE DERECHO A BONO DE DESCUENTO ")</f>
        <v>CLIENTE RECIBE UN 15% DE DESCUENTO EN CUALQUIER PLATO</v>
      </c>
      <c r="E34" s="87"/>
      <c r="F34" s="87"/>
      <c r="G34" s="87"/>
      <c r="H34" s="87"/>
      <c r="I34" s="26"/>
    </row>
    <row r="35" spans="2:9" x14ac:dyDescent="0.25">
      <c r="B35" s="24"/>
      <c r="C35" s="52"/>
      <c r="D35" s="87" t="str">
        <f>IF(DATOS!H22=TRUE,DATOS!G22," NO RECIBE INVITACIÓN ESPECIAL")</f>
        <v xml:space="preserve">RECIBE  INVITACIÓN CON TODO PAGO PARA PRÓXIMO EVENTO </v>
      </c>
      <c r="E35" s="87"/>
      <c r="F35" s="87"/>
      <c r="G35" s="87"/>
      <c r="H35" s="87"/>
      <c r="I35" s="26"/>
    </row>
    <row r="36" spans="2:9" x14ac:dyDescent="0.25">
      <c r="B36" s="27"/>
      <c r="C36" s="28"/>
      <c r="D36" s="28"/>
      <c r="E36" s="28"/>
      <c r="F36" s="28"/>
      <c r="G36" s="28"/>
      <c r="H36" s="28"/>
      <c r="I36" s="29"/>
    </row>
    <row r="38" spans="2:9" x14ac:dyDescent="0.25">
      <c r="B38" s="15"/>
      <c r="C38" s="16"/>
      <c r="D38" s="16"/>
      <c r="E38" s="16"/>
      <c r="F38" s="16"/>
      <c r="G38" s="16"/>
      <c r="H38" s="16"/>
      <c r="I38" s="17"/>
    </row>
    <row r="39" spans="2:9" x14ac:dyDescent="0.25">
      <c r="B39" s="18"/>
      <c r="C39" s="19"/>
      <c r="D39" s="19"/>
      <c r="E39" s="19"/>
      <c r="F39" s="19"/>
      <c r="G39" s="19"/>
      <c r="H39" s="19"/>
      <c r="I39" s="20"/>
    </row>
  </sheetData>
  <mergeCells count="48">
    <mergeCell ref="D33:H33"/>
    <mergeCell ref="D34:H34"/>
    <mergeCell ref="D35:H35"/>
    <mergeCell ref="G10:I10"/>
    <mergeCell ref="G13:I13"/>
    <mergeCell ref="G12:I12"/>
    <mergeCell ref="G11:I11"/>
    <mergeCell ref="F10:F13"/>
    <mergeCell ref="C15:E15"/>
    <mergeCell ref="F15:G15"/>
    <mergeCell ref="B30:E30"/>
    <mergeCell ref="F30:H30"/>
    <mergeCell ref="F28:H28"/>
    <mergeCell ref="C21:E21"/>
    <mergeCell ref="F27:H27"/>
    <mergeCell ref="F29:G29"/>
    <mergeCell ref="B2:I4"/>
    <mergeCell ref="B5:C5"/>
    <mergeCell ref="B7:I7"/>
    <mergeCell ref="C13:E13"/>
    <mergeCell ref="C12:E12"/>
    <mergeCell ref="C11:E11"/>
    <mergeCell ref="C10:E10"/>
    <mergeCell ref="C9:E9"/>
    <mergeCell ref="C8:E8"/>
    <mergeCell ref="F8:F9"/>
    <mergeCell ref="B28:E28"/>
    <mergeCell ref="C26:E26"/>
    <mergeCell ref="C25:E25"/>
    <mergeCell ref="C24:E24"/>
    <mergeCell ref="C23:E23"/>
    <mergeCell ref="C22:E22"/>
    <mergeCell ref="F26:G26"/>
    <mergeCell ref="F25:G25"/>
    <mergeCell ref="F24:G24"/>
    <mergeCell ref="F23:G23"/>
    <mergeCell ref="F22:G22"/>
    <mergeCell ref="F16:G16"/>
    <mergeCell ref="C20:E20"/>
    <mergeCell ref="C19:E19"/>
    <mergeCell ref="C18:E18"/>
    <mergeCell ref="C17:E17"/>
    <mergeCell ref="C16:E16"/>
    <mergeCell ref="F21:G21"/>
    <mergeCell ref="F20:G20"/>
    <mergeCell ref="F19:G19"/>
    <mergeCell ref="F18:G18"/>
    <mergeCell ref="F17:G17"/>
  </mergeCells>
  <conditionalFormatting sqref="I16:I26">
    <cfRule type="containsText" dxfId="0" priority="1" operator="containsText" text="NO HAY ESA CANTIDAD REALIZADA">
      <formula>NOT(ISERROR(SEARCH("NO HAY ESA CANTIDAD REALIZADA",I16)))</formula>
    </cfRule>
  </conditionalFormatting>
  <dataValidations count="1">
    <dataValidation type="decimal" allowBlank="1" showInputMessage="1" showErrorMessage="1" errorTitle="Error" error="Solo se permiten los días entre el 1 y 31" sqref="G9">
      <formula1>1</formula1>
      <formula2>31</formula2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6" r:id="rId4" name="cmdtotal">
          <controlPr autoLine="0" r:id="rId5">
            <anchor moveWithCells="1">
              <from>
                <xdr:col>4</xdr:col>
                <xdr:colOff>581025</xdr:colOff>
                <xdr:row>37</xdr:row>
                <xdr:rowOff>47625</xdr:rowOff>
              </from>
              <to>
                <xdr:col>6</xdr:col>
                <xdr:colOff>104775</xdr:colOff>
                <xdr:row>38</xdr:row>
                <xdr:rowOff>161925</xdr:rowOff>
              </to>
            </anchor>
          </controlPr>
        </control>
      </mc:Choice>
      <mc:Fallback>
        <control shapeId="1056" r:id="rId4" name="cmdtotal"/>
      </mc:Fallback>
    </mc:AlternateContent>
    <mc:AlternateContent xmlns:mc="http://schemas.openxmlformats.org/markup-compatibility/2006">
      <mc:Choice Requires="x14">
        <control shapeId="1047" r:id="rId6" name="cmdcliente">
          <controlPr autoLine="0" r:id="rId7">
            <anchor moveWithCells="1">
              <from>
                <xdr:col>1</xdr:col>
                <xdr:colOff>304800</xdr:colOff>
                <xdr:row>37</xdr:row>
                <xdr:rowOff>47625</xdr:rowOff>
              </from>
              <to>
                <xdr:col>1</xdr:col>
                <xdr:colOff>1343025</xdr:colOff>
                <xdr:row>38</xdr:row>
                <xdr:rowOff>161925</xdr:rowOff>
              </to>
            </anchor>
          </controlPr>
        </control>
      </mc:Choice>
      <mc:Fallback>
        <control shapeId="1047" r:id="rId6" name="cmdcliente"/>
      </mc:Fallback>
    </mc:AlternateContent>
    <mc:AlternateContent xmlns:mc="http://schemas.openxmlformats.org/markup-compatibility/2006">
      <mc:Choice Requires="x14">
        <control shapeId="1049" r:id="rId8" name="cmdservicio">
          <controlPr autoLine="0" r:id="rId9">
            <anchor moveWithCells="1">
              <from>
                <xdr:col>2</xdr:col>
                <xdr:colOff>257175</xdr:colOff>
                <xdr:row>37</xdr:row>
                <xdr:rowOff>47625</xdr:rowOff>
              </from>
              <to>
                <xdr:col>4</xdr:col>
                <xdr:colOff>219075</xdr:colOff>
                <xdr:row>38</xdr:row>
                <xdr:rowOff>161925</xdr:rowOff>
              </to>
            </anchor>
          </controlPr>
        </control>
      </mc:Choice>
      <mc:Fallback>
        <control shapeId="1049" r:id="rId8" name="cmdservicio"/>
      </mc:Fallback>
    </mc:AlternateContent>
    <mc:AlternateContent xmlns:mc="http://schemas.openxmlformats.org/markup-compatibility/2006">
      <mc:Choice Requires="x14">
        <control shapeId="1050" r:id="rId10" name="cmdlimpiar">
          <controlPr autoLine="0" r:id="rId11">
            <anchor moveWithCells="1">
              <from>
                <xdr:col>8</xdr:col>
                <xdr:colOff>95250</xdr:colOff>
                <xdr:row>37</xdr:row>
                <xdr:rowOff>47625</xdr:rowOff>
              </from>
              <to>
                <xdr:col>8</xdr:col>
                <xdr:colOff>1828800</xdr:colOff>
                <xdr:row>38</xdr:row>
                <xdr:rowOff>161925</xdr:rowOff>
              </to>
            </anchor>
          </controlPr>
        </control>
      </mc:Choice>
      <mc:Fallback>
        <control shapeId="1050" r:id="rId10" name="cmdlimpiar"/>
      </mc:Fallback>
    </mc:AlternateContent>
    <mc:AlternateContent xmlns:mc="http://schemas.openxmlformats.org/markup-compatibility/2006">
      <mc:Choice Requires="x14">
        <control shapeId="1053" r:id="rId12" name="cmdpdf">
          <controlPr autoLine="0" r:id="rId13">
            <anchor moveWithCells="1">
              <from>
                <xdr:col>6</xdr:col>
                <xdr:colOff>485775</xdr:colOff>
                <xdr:row>37</xdr:row>
                <xdr:rowOff>47625</xdr:rowOff>
              </from>
              <to>
                <xdr:col>7</xdr:col>
                <xdr:colOff>647700</xdr:colOff>
                <xdr:row>38</xdr:row>
                <xdr:rowOff>161925</xdr:rowOff>
              </to>
            </anchor>
          </controlPr>
        </control>
      </mc:Choice>
      <mc:Fallback>
        <control shapeId="1053" r:id="rId12" name="cmdpdf"/>
      </mc:Fallback>
    </mc:AlternateContent>
    <mc:AlternateContent xmlns:mc="http://schemas.openxmlformats.org/markup-compatibility/2006">
      <mc:Choice Requires="x14">
        <control shapeId="1029" r:id="rId14" name="Spinner 5">
          <controlPr defaultSize="0" autoPict="0">
            <anchor moveWithCells="1" sizeWithCells="1">
              <from>
                <xdr:col>6</xdr:col>
                <xdr:colOff>571500</xdr:colOff>
                <xdr:row>7</xdr:row>
                <xdr:rowOff>190500</xdr:rowOff>
              </from>
              <to>
                <xdr:col>7</xdr:col>
                <xdr:colOff>0</xdr:colOff>
                <xdr:row>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5" name="Drop Down 9">
          <controlPr defaultSize="0" autoLine="0" autoPict="0">
            <anchor moveWithCells="1">
              <from>
                <xdr:col>7</xdr:col>
                <xdr:colOff>9525</xdr:colOff>
                <xdr:row>8</xdr:row>
                <xdr:rowOff>0</xdr:rowOff>
              </from>
              <to>
                <xdr:col>8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Drop Down 10">
          <controlPr defaultSize="0" autoLine="0" autoPict="0">
            <anchor moveWithCells="1">
              <from>
                <xdr:col>8</xdr:col>
                <xdr:colOff>9525</xdr:colOff>
                <xdr:row>8</xdr:row>
                <xdr:rowOff>0</xdr:rowOff>
              </from>
              <to>
                <xdr:col>9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7" name="Option Button 15">
          <controlPr defaultSize="0" autoFill="0" autoLine="0" autoPict="0">
            <anchor moveWithCells="1">
              <from>
                <xdr:col>8</xdr:col>
                <xdr:colOff>542925</xdr:colOff>
                <xdr:row>31</xdr:row>
                <xdr:rowOff>114300</xdr:rowOff>
              </from>
              <to>
                <xdr:col>8</xdr:col>
                <xdr:colOff>1800225</xdr:colOff>
                <xdr:row>32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8" name="Option Button 16">
          <controlPr defaultSize="0" autoFill="0" autoLine="0" autoPict="0">
            <anchor moveWithCells="1">
              <from>
                <xdr:col>8</xdr:col>
                <xdr:colOff>542925</xdr:colOff>
                <xdr:row>32</xdr:row>
                <xdr:rowOff>114300</xdr:rowOff>
              </from>
              <to>
                <xdr:col>8</xdr:col>
                <xdr:colOff>1762125</xdr:colOff>
                <xdr:row>33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9" name="Option Button 17">
          <controlPr defaultSize="0" autoFill="0" autoLine="0" autoPict="0">
            <anchor moveWithCells="1">
              <from>
                <xdr:col>8</xdr:col>
                <xdr:colOff>552450</xdr:colOff>
                <xdr:row>33</xdr:row>
                <xdr:rowOff>95250</xdr:rowOff>
              </from>
              <to>
                <xdr:col>8</xdr:col>
                <xdr:colOff>1276350</xdr:colOff>
                <xdr:row>34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0" name="Group Box 18">
          <controlPr defaultSize="0" autoFill="0" autoPict="0">
            <anchor moveWithCells="1">
              <from>
                <xdr:col>8</xdr:col>
                <xdr:colOff>466725</xdr:colOff>
                <xdr:row>31</xdr:row>
                <xdr:rowOff>0</xdr:rowOff>
              </from>
              <to>
                <xdr:col>8</xdr:col>
                <xdr:colOff>1847850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1" name="Check Box 19">
          <controlPr defaultSize="0" autoFill="0" autoLine="0" autoPict="0">
            <anchor moveWithCells="1">
              <from>
                <xdr:col>1</xdr:col>
                <xdr:colOff>238125</xdr:colOff>
                <xdr:row>31</xdr:row>
                <xdr:rowOff>142875</xdr:rowOff>
              </from>
              <to>
                <xdr:col>1</xdr:col>
                <xdr:colOff>1304925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2" name="Check Box 20">
          <controlPr defaultSize="0" autoFill="0" autoLine="0" autoPict="0">
            <anchor moveWithCells="1">
              <from>
                <xdr:col>1</xdr:col>
                <xdr:colOff>228600</xdr:colOff>
                <xdr:row>32</xdr:row>
                <xdr:rowOff>152400</xdr:rowOff>
              </from>
              <to>
                <xdr:col>2</xdr:col>
                <xdr:colOff>85725</xdr:colOff>
                <xdr:row>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3" name="Check Box 21">
          <controlPr defaultSize="0" autoFill="0" autoLine="0" autoPict="0">
            <anchor moveWithCells="1">
              <from>
                <xdr:col>1</xdr:col>
                <xdr:colOff>228600</xdr:colOff>
                <xdr:row>33</xdr:row>
                <xdr:rowOff>161925</xdr:rowOff>
              </from>
              <to>
                <xdr:col>1</xdr:col>
                <xdr:colOff>1428750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4" name="Group Box 22">
          <controlPr defaultSize="0" autoFill="0" autoPict="0">
            <anchor moveWithCells="1">
              <from>
                <xdr:col>1</xdr:col>
                <xdr:colOff>238125</xdr:colOff>
                <xdr:row>31</xdr:row>
                <xdr:rowOff>28575</xdr:rowOff>
              </from>
              <to>
                <xdr:col>2</xdr:col>
                <xdr:colOff>76200</xdr:colOff>
                <xdr:row>35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CLIENTES!$A$2:$A$38</xm:f>
          </x14:formula1>
          <xm:sqref>C8:E8</xm:sqref>
        </x14:dataValidation>
        <x14:dataValidation type="list" allowBlank="1" showInputMessage="1" showErrorMessage="1">
          <x14:formula1>
            <xm:f>DATOS!$A$3:$A$39</xm:f>
          </x14:formula1>
          <xm:sqref>B16:B26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A1:M39"/>
  <sheetViews>
    <sheetView showGridLines="0" workbookViewId="0">
      <selection activeCell="A26" sqref="A26"/>
    </sheetView>
  </sheetViews>
  <sheetFormatPr baseColWidth="10" defaultRowHeight="15" x14ac:dyDescent="0.25"/>
  <cols>
    <col min="1" max="1" width="9.85546875" bestFit="1" customWidth="1"/>
    <col min="2" max="2" width="28.140625" bestFit="1" customWidth="1"/>
    <col min="3" max="3" width="19.140625" bestFit="1" customWidth="1"/>
    <col min="4" max="4" width="25.85546875" bestFit="1" customWidth="1"/>
    <col min="6" max="6" width="32.7109375" bestFit="1" customWidth="1"/>
    <col min="7" max="7" width="84.7109375" bestFit="1" customWidth="1"/>
    <col min="8" max="9" width="20.85546875" bestFit="1" customWidth="1"/>
  </cols>
  <sheetData>
    <row r="1" spans="1:13" x14ac:dyDescent="0.25">
      <c r="A1" s="101" t="s">
        <v>17</v>
      </c>
      <c r="B1" s="102" t="s">
        <v>146</v>
      </c>
      <c r="C1" s="102" t="s">
        <v>145</v>
      </c>
      <c r="D1" s="102" t="s">
        <v>39</v>
      </c>
      <c r="G1" s="37" t="s">
        <v>41</v>
      </c>
      <c r="H1" s="38" t="s">
        <v>41</v>
      </c>
    </row>
    <row r="2" spans="1:13" x14ac:dyDescent="0.25">
      <c r="A2" s="101"/>
      <c r="B2" s="102"/>
      <c r="C2" s="102"/>
      <c r="D2" s="103"/>
      <c r="G2" s="45">
        <v>12</v>
      </c>
      <c r="H2" s="45">
        <v>5</v>
      </c>
    </row>
    <row r="3" spans="1:13" x14ac:dyDescent="0.25">
      <c r="A3" s="32" t="s">
        <v>170</v>
      </c>
      <c r="B3" s="31" t="s">
        <v>18</v>
      </c>
      <c r="C3" s="33">
        <v>12000</v>
      </c>
      <c r="D3" s="30">
        <v>10</v>
      </c>
      <c r="F3" s="37" t="s">
        <v>9</v>
      </c>
      <c r="G3" s="37" t="s">
        <v>10</v>
      </c>
      <c r="H3" s="37" t="s">
        <v>11</v>
      </c>
    </row>
    <row r="4" spans="1:13" x14ac:dyDescent="0.25">
      <c r="A4" s="32" t="s">
        <v>171</v>
      </c>
      <c r="B4" s="31" t="s">
        <v>19</v>
      </c>
      <c r="C4" s="33">
        <v>15000</v>
      </c>
      <c r="D4" s="30">
        <v>8</v>
      </c>
      <c r="F4" s="3">
        <f>VLOOKUP(FACTURA!G9,FACTURA!G9,1,FALSE)</f>
        <v>5</v>
      </c>
      <c r="G4" s="50" t="s">
        <v>45</v>
      </c>
      <c r="H4" s="45">
        <v>2012</v>
      </c>
      <c r="I4" s="44"/>
    </row>
    <row r="5" spans="1:13" x14ac:dyDescent="0.25">
      <c r="A5" s="32" t="s">
        <v>172</v>
      </c>
      <c r="B5" s="31" t="s">
        <v>20</v>
      </c>
      <c r="C5" s="33">
        <v>13000</v>
      </c>
      <c r="D5" s="30">
        <v>9</v>
      </c>
      <c r="G5" s="50" t="s">
        <v>46</v>
      </c>
      <c r="H5" s="45">
        <v>2013</v>
      </c>
      <c r="I5" s="44"/>
    </row>
    <row r="6" spans="1:13" x14ac:dyDescent="0.25">
      <c r="A6" s="32" t="s">
        <v>173</v>
      </c>
      <c r="B6" s="31" t="s">
        <v>21</v>
      </c>
      <c r="C6" s="33">
        <v>16000</v>
      </c>
      <c r="D6" s="30">
        <v>12</v>
      </c>
      <c r="G6" s="50" t="s">
        <v>47</v>
      </c>
      <c r="H6" s="45">
        <v>2014</v>
      </c>
      <c r="I6" s="44"/>
    </row>
    <row r="7" spans="1:13" x14ac:dyDescent="0.25">
      <c r="A7" s="32" t="s">
        <v>174</v>
      </c>
      <c r="B7" s="31" t="s">
        <v>22</v>
      </c>
      <c r="C7" s="33">
        <v>11000</v>
      </c>
      <c r="D7" s="30">
        <v>15</v>
      </c>
      <c r="G7" s="50" t="s">
        <v>48</v>
      </c>
      <c r="H7" s="45">
        <v>2015</v>
      </c>
      <c r="I7" s="44"/>
    </row>
    <row r="8" spans="1:13" x14ac:dyDescent="0.25">
      <c r="A8" s="32" t="s">
        <v>175</v>
      </c>
      <c r="B8" s="31" t="s">
        <v>23</v>
      </c>
      <c r="C8" s="33">
        <v>23000</v>
      </c>
      <c r="D8" s="30">
        <v>9</v>
      </c>
      <c r="G8" s="50" t="s">
        <v>49</v>
      </c>
      <c r="H8" s="45">
        <v>2016</v>
      </c>
      <c r="I8" s="44"/>
    </row>
    <row r="9" spans="1:13" x14ac:dyDescent="0.25">
      <c r="A9" s="32" t="s">
        <v>176</v>
      </c>
      <c r="B9" s="31" t="s">
        <v>24</v>
      </c>
      <c r="C9" s="33">
        <v>7000</v>
      </c>
      <c r="D9" s="30">
        <v>11</v>
      </c>
      <c r="G9" s="50" t="s">
        <v>50</v>
      </c>
      <c r="H9" s="45">
        <v>2017</v>
      </c>
      <c r="I9" s="44"/>
    </row>
    <row r="10" spans="1:13" x14ac:dyDescent="0.25">
      <c r="A10" s="32" t="s">
        <v>177</v>
      </c>
      <c r="B10" s="31" t="s">
        <v>25</v>
      </c>
      <c r="C10" s="33">
        <v>9000</v>
      </c>
      <c r="D10" s="30">
        <v>18</v>
      </c>
      <c r="G10" s="50" t="s">
        <v>51</v>
      </c>
      <c r="H10" s="45">
        <v>2018</v>
      </c>
      <c r="I10" s="44"/>
    </row>
    <row r="11" spans="1:13" x14ac:dyDescent="0.25">
      <c r="A11" s="32" t="s">
        <v>178</v>
      </c>
      <c r="B11" s="31" t="s">
        <v>26</v>
      </c>
      <c r="C11" s="33">
        <v>8000</v>
      </c>
      <c r="D11" s="30">
        <v>20</v>
      </c>
      <c r="G11" s="50" t="s">
        <v>52</v>
      </c>
      <c r="H11" s="45">
        <v>2019</v>
      </c>
      <c r="I11" s="44"/>
    </row>
    <row r="12" spans="1:13" x14ac:dyDescent="0.25">
      <c r="A12" s="32" t="s">
        <v>168</v>
      </c>
      <c r="B12" s="31" t="s">
        <v>27</v>
      </c>
      <c r="C12" s="33">
        <v>4000</v>
      </c>
      <c r="D12" s="30">
        <v>80</v>
      </c>
      <c r="G12" s="50" t="s">
        <v>53</v>
      </c>
      <c r="H12" s="45">
        <v>2020</v>
      </c>
      <c r="I12" s="44"/>
      <c r="M12" s="36"/>
    </row>
    <row r="13" spans="1:13" x14ac:dyDescent="0.25">
      <c r="A13" s="32" t="s">
        <v>179</v>
      </c>
      <c r="B13" s="31" t="s">
        <v>28</v>
      </c>
      <c r="C13" s="33">
        <v>3000</v>
      </c>
      <c r="D13" s="30">
        <v>80</v>
      </c>
      <c r="G13" s="50" t="s">
        <v>54</v>
      </c>
      <c r="H13" s="45">
        <v>2021</v>
      </c>
      <c r="I13" s="44"/>
      <c r="M13" s="36"/>
    </row>
    <row r="14" spans="1:13" x14ac:dyDescent="0.25">
      <c r="A14" s="32" t="s">
        <v>180</v>
      </c>
      <c r="B14" s="31" t="s">
        <v>29</v>
      </c>
      <c r="C14" s="33">
        <v>12500</v>
      </c>
      <c r="D14" s="30">
        <v>27</v>
      </c>
      <c r="G14" s="50" t="s">
        <v>55</v>
      </c>
      <c r="H14" s="45">
        <v>2022</v>
      </c>
      <c r="I14" s="44"/>
      <c r="M14" s="36"/>
    </row>
    <row r="15" spans="1:13" x14ac:dyDescent="0.25">
      <c r="A15" s="32" t="s">
        <v>181</v>
      </c>
      <c r="B15" s="31" t="s">
        <v>30</v>
      </c>
      <c r="C15" s="33">
        <v>9000</v>
      </c>
      <c r="D15" s="30">
        <v>33</v>
      </c>
      <c r="G15" s="50" t="s">
        <v>56</v>
      </c>
      <c r="H15" s="45">
        <v>2023</v>
      </c>
      <c r="I15" s="44"/>
      <c r="M15" s="36"/>
    </row>
    <row r="16" spans="1:13" x14ac:dyDescent="0.25">
      <c r="A16" s="32" t="s">
        <v>182</v>
      </c>
      <c r="B16" s="31" t="s">
        <v>31</v>
      </c>
      <c r="C16" s="33">
        <v>9000</v>
      </c>
      <c r="D16" s="30">
        <v>38</v>
      </c>
      <c r="M16" s="36"/>
    </row>
    <row r="17" spans="1:13" x14ac:dyDescent="0.25">
      <c r="A17" s="32" t="s">
        <v>183</v>
      </c>
      <c r="B17" s="31" t="s">
        <v>32</v>
      </c>
      <c r="C17" s="33">
        <v>10000</v>
      </c>
      <c r="D17" s="30">
        <v>40</v>
      </c>
      <c r="M17" s="36"/>
    </row>
    <row r="18" spans="1:13" x14ac:dyDescent="0.25">
      <c r="A18" s="32" t="s">
        <v>184</v>
      </c>
      <c r="B18" s="31" t="s">
        <v>33</v>
      </c>
      <c r="C18" s="33">
        <v>19000</v>
      </c>
      <c r="D18" s="30">
        <v>22</v>
      </c>
      <c r="M18" s="34"/>
    </row>
    <row r="19" spans="1:13" x14ac:dyDescent="0.25">
      <c r="A19" s="32" t="s">
        <v>185</v>
      </c>
      <c r="B19" s="31" t="s">
        <v>34</v>
      </c>
      <c r="C19" s="33">
        <v>10000</v>
      </c>
      <c r="D19" s="30">
        <v>31</v>
      </c>
      <c r="F19" s="37" t="s">
        <v>57</v>
      </c>
      <c r="G19" s="37" t="s">
        <v>58</v>
      </c>
      <c r="H19" s="37" t="s">
        <v>41</v>
      </c>
      <c r="M19" s="34"/>
    </row>
    <row r="20" spans="1:13" x14ac:dyDescent="0.25">
      <c r="A20" s="32" t="s">
        <v>186</v>
      </c>
      <c r="B20" s="31" t="s">
        <v>35</v>
      </c>
      <c r="C20" s="33">
        <v>7500</v>
      </c>
      <c r="D20" s="30">
        <v>27</v>
      </c>
      <c r="F20" s="39" t="s">
        <v>59</v>
      </c>
      <c r="G20" s="39" t="s">
        <v>60</v>
      </c>
      <c r="H20" s="39" t="b">
        <v>1</v>
      </c>
      <c r="M20" s="34"/>
    </row>
    <row r="21" spans="1:13" x14ac:dyDescent="0.25">
      <c r="A21" s="32" t="s">
        <v>187</v>
      </c>
      <c r="B21" s="31" t="s">
        <v>36</v>
      </c>
      <c r="C21" s="33">
        <v>11500</v>
      </c>
      <c r="D21" s="30">
        <v>15</v>
      </c>
      <c r="F21" s="39" t="s">
        <v>61</v>
      </c>
      <c r="G21" s="39" t="s">
        <v>148</v>
      </c>
      <c r="H21" s="39" t="b">
        <v>1</v>
      </c>
      <c r="M21" s="34"/>
    </row>
    <row r="22" spans="1:13" x14ac:dyDescent="0.25">
      <c r="A22" s="32" t="s">
        <v>188</v>
      </c>
      <c r="B22" s="31" t="s">
        <v>37</v>
      </c>
      <c r="C22" s="33">
        <v>12000</v>
      </c>
      <c r="D22" s="30">
        <v>20</v>
      </c>
      <c r="F22" s="39" t="s">
        <v>62</v>
      </c>
      <c r="G22" s="40" t="s">
        <v>149</v>
      </c>
      <c r="H22" s="39" t="b">
        <v>1</v>
      </c>
      <c r="M22" s="34"/>
    </row>
    <row r="23" spans="1:13" x14ac:dyDescent="0.25">
      <c r="A23" s="32" t="s">
        <v>167</v>
      </c>
      <c r="B23" s="31" t="s">
        <v>38</v>
      </c>
      <c r="C23" s="33">
        <v>5000</v>
      </c>
      <c r="D23" s="30">
        <v>15</v>
      </c>
    </row>
    <row r="24" spans="1:13" x14ac:dyDescent="0.25">
      <c r="A24" s="32" t="s">
        <v>189</v>
      </c>
      <c r="B24" s="31" t="s">
        <v>169</v>
      </c>
      <c r="C24" s="33">
        <v>5000</v>
      </c>
      <c r="D24" s="30">
        <v>70</v>
      </c>
    </row>
    <row r="25" spans="1:13" x14ac:dyDescent="0.25">
      <c r="A25" s="32" t="s">
        <v>190</v>
      </c>
      <c r="B25" s="31" t="s">
        <v>191</v>
      </c>
      <c r="C25" s="33">
        <v>6000</v>
      </c>
      <c r="D25" s="30">
        <v>80</v>
      </c>
    </row>
    <row r="26" spans="1:13" x14ac:dyDescent="0.25">
      <c r="A26" s="32"/>
      <c r="B26" s="31"/>
      <c r="C26" s="33"/>
      <c r="D26" s="30"/>
      <c r="F26" s="37" t="s">
        <v>40</v>
      </c>
      <c r="G26" s="37" t="s">
        <v>16</v>
      </c>
      <c r="H26" s="37" t="s">
        <v>41</v>
      </c>
    </row>
    <row r="27" spans="1:13" x14ac:dyDescent="0.25">
      <c r="A27" s="32"/>
      <c r="B27" s="31"/>
      <c r="C27" s="33"/>
      <c r="D27" s="30"/>
      <c r="F27" s="35" t="s">
        <v>42</v>
      </c>
      <c r="G27" s="51">
        <v>0.3</v>
      </c>
      <c r="H27" s="104">
        <v>2</v>
      </c>
    </row>
    <row r="28" spans="1:13" x14ac:dyDescent="0.25">
      <c r="A28" s="32"/>
      <c r="B28" s="31"/>
      <c r="C28" s="33"/>
      <c r="D28" s="30"/>
      <c r="F28" s="35" t="s">
        <v>43</v>
      </c>
      <c r="G28" s="51">
        <v>0.05</v>
      </c>
      <c r="H28" s="104"/>
    </row>
    <row r="29" spans="1:13" x14ac:dyDescent="0.25">
      <c r="A29" s="32"/>
      <c r="B29" s="31"/>
      <c r="C29" s="33"/>
      <c r="D29" s="30"/>
      <c r="F29" s="35" t="s">
        <v>44</v>
      </c>
      <c r="G29" s="51">
        <v>7.0000000000000007E-2</v>
      </c>
      <c r="H29" s="104"/>
    </row>
    <row r="30" spans="1:13" x14ac:dyDescent="0.25">
      <c r="A30" s="32"/>
      <c r="B30" s="31"/>
      <c r="C30" s="33"/>
      <c r="D30" s="30"/>
    </row>
    <row r="31" spans="1:13" x14ac:dyDescent="0.25">
      <c r="A31" s="32"/>
      <c r="B31" s="31"/>
      <c r="C31" s="33"/>
      <c r="D31" s="30"/>
    </row>
    <row r="32" spans="1:13" x14ac:dyDescent="0.25">
      <c r="A32" s="32"/>
      <c r="B32" s="31"/>
      <c r="C32" s="33"/>
      <c r="D32" s="30"/>
    </row>
    <row r="33" spans="1:4" x14ac:dyDescent="0.25">
      <c r="A33" s="32"/>
      <c r="B33" s="31"/>
      <c r="C33" s="33"/>
      <c r="D33" s="30"/>
    </row>
    <row r="34" spans="1:4" x14ac:dyDescent="0.25">
      <c r="A34" s="32"/>
      <c r="B34" s="31"/>
      <c r="C34" s="33"/>
      <c r="D34" s="30"/>
    </row>
    <row r="35" spans="1:4" x14ac:dyDescent="0.25">
      <c r="A35" s="32"/>
      <c r="B35" s="31"/>
      <c r="C35" s="33"/>
      <c r="D35" s="30"/>
    </row>
    <row r="36" spans="1:4" x14ac:dyDescent="0.25">
      <c r="A36" s="32"/>
      <c r="B36" s="31"/>
      <c r="C36" s="33"/>
      <c r="D36" s="30"/>
    </row>
    <row r="37" spans="1:4" x14ac:dyDescent="0.25">
      <c r="A37" s="32"/>
      <c r="B37" s="31"/>
      <c r="C37" s="33"/>
      <c r="D37" s="30"/>
    </row>
    <row r="38" spans="1:4" x14ac:dyDescent="0.25">
      <c r="A38" s="32"/>
      <c r="B38" s="31"/>
      <c r="C38" s="33"/>
      <c r="D38" s="30"/>
    </row>
    <row r="39" spans="1:4" x14ac:dyDescent="0.25">
      <c r="A39" s="32"/>
      <c r="B39" s="31"/>
      <c r="C39" s="33"/>
      <c r="D39" s="30"/>
    </row>
  </sheetData>
  <mergeCells count="5">
    <mergeCell ref="A1:A2"/>
    <mergeCell ref="B1:B2"/>
    <mergeCell ref="C1:C2"/>
    <mergeCell ref="D1:D2"/>
    <mergeCell ref="H27:H2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I42"/>
  <sheetViews>
    <sheetView showGridLines="0" workbookViewId="0">
      <selection activeCell="A26" sqref="A26"/>
    </sheetView>
  </sheetViews>
  <sheetFormatPr baseColWidth="10" defaultColWidth="65.7109375" defaultRowHeight="15" x14ac:dyDescent="0.25"/>
  <cols>
    <col min="1" max="1" width="12.42578125" bestFit="1" customWidth="1"/>
    <col min="2" max="2" width="12.85546875" bestFit="1" customWidth="1"/>
    <col min="3" max="3" width="14" bestFit="1" customWidth="1"/>
    <col min="4" max="4" width="12.85546875" bestFit="1" customWidth="1"/>
    <col min="5" max="5" width="12.42578125" bestFit="1" customWidth="1"/>
    <col min="6" max="6" width="27.7109375" bestFit="1" customWidth="1"/>
    <col min="7" max="7" width="16.85546875" bestFit="1" customWidth="1"/>
    <col min="8" max="8" width="17.5703125" customWidth="1"/>
    <col min="9" max="9" width="22.7109375" customWidth="1"/>
    <col min="10" max="15" width="17.5703125" customWidth="1"/>
  </cols>
  <sheetData>
    <row r="1" spans="1:9" ht="30" x14ac:dyDescent="0.25">
      <c r="A1" s="43" t="s">
        <v>136</v>
      </c>
      <c r="B1" s="43" t="s">
        <v>137</v>
      </c>
      <c r="C1" s="43" t="s">
        <v>138</v>
      </c>
      <c r="D1" s="43" t="s">
        <v>139</v>
      </c>
      <c r="E1" s="43" t="s">
        <v>140</v>
      </c>
      <c r="F1" s="43" t="s">
        <v>141</v>
      </c>
      <c r="G1" s="43" t="s">
        <v>142</v>
      </c>
      <c r="I1" s="43" t="s">
        <v>158</v>
      </c>
    </row>
    <row r="2" spans="1:9" x14ac:dyDescent="0.25">
      <c r="A2" s="41">
        <v>1017253222</v>
      </c>
      <c r="B2" s="41" t="s">
        <v>63</v>
      </c>
      <c r="C2" s="41" t="s">
        <v>64</v>
      </c>
      <c r="D2" s="41">
        <v>5134058</v>
      </c>
      <c r="E2" s="41">
        <v>3016143622</v>
      </c>
      <c r="F2" s="42" t="s">
        <v>65</v>
      </c>
      <c r="G2" s="41" t="s">
        <v>66</v>
      </c>
      <c r="I2" s="3" t="str">
        <f>VLOOKUP(FACTURA!C9,FACTURA!$C$9,1,FALSE)</f>
        <v xml:space="preserve"> </v>
      </c>
    </row>
    <row r="3" spans="1:9" x14ac:dyDescent="0.25">
      <c r="A3" s="41">
        <v>1152456784</v>
      </c>
      <c r="B3" s="41" t="s">
        <v>67</v>
      </c>
      <c r="C3" s="41" t="s">
        <v>68</v>
      </c>
      <c r="D3" s="41">
        <v>5644327</v>
      </c>
      <c r="E3" s="41">
        <v>3163438864</v>
      </c>
      <c r="F3" s="42" t="s">
        <v>69</v>
      </c>
      <c r="G3" s="41" t="s">
        <v>66</v>
      </c>
      <c r="I3" s="44"/>
    </row>
    <row r="4" spans="1:9" x14ac:dyDescent="0.25">
      <c r="A4" s="41">
        <v>1216725191</v>
      </c>
      <c r="B4" s="41" t="s">
        <v>70</v>
      </c>
      <c r="C4" s="41" t="s">
        <v>71</v>
      </c>
      <c r="D4" s="41">
        <v>5127890</v>
      </c>
      <c r="E4" s="41">
        <v>3146726972</v>
      </c>
      <c r="F4" s="42" t="s">
        <v>72</v>
      </c>
      <c r="G4" s="41" t="s">
        <v>73</v>
      </c>
      <c r="I4" s="44"/>
    </row>
    <row r="5" spans="1:9" x14ac:dyDescent="0.25">
      <c r="A5" s="41">
        <v>1018987654</v>
      </c>
      <c r="B5" s="41" t="s">
        <v>74</v>
      </c>
      <c r="C5" s="41" t="s">
        <v>75</v>
      </c>
      <c r="D5" s="41">
        <v>2389780</v>
      </c>
      <c r="E5" s="41">
        <v>3015406186</v>
      </c>
      <c r="F5" s="42" t="s">
        <v>76</v>
      </c>
      <c r="G5" s="41" t="s">
        <v>77</v>
      </c>
      <c r="I5" s="44"/>
    </row>
    <row r="6" spans="1:9" x14ac:dyDescent="0.25">
      <c r="A6" s="41">
        <v>1017435678</v>
      </c>
      <c r="B6" s="41" t="s">
        <v>78</v>
      </c>
      <c r="C6" s="41" t="s">
        <v>79</v>
      </c>
      <c r="D6" s="41">
        <v>2319190</v>
      </c>
      <c r="E6" s="41">
        <v>3145322525</v>
      </c>
      <c r="F6" s="42" t="s">
        <v>80</v>
      </c>
      <c r="G6" s="41" t="s">
        <v>81</v>
      </c>
    </row>
    <row r="7" spans="1:9" x14ac:dyDescent="0.25">
      <c r="A7" s="41">
        <v>1254678976</v>
      </c>
      <c r="B7" s="41" t="s">
        <v>82</v>
      </c>
      <c r="C7" s="41" t="s">
        <v>83</v>
      </c>
      <c r="D7" s="41">
        <v>5126011</v>
      </c>
      <c r="E7" s="41">
        <v>3016809765</v>
      </c>
      <c r="F7" s="42" t="s">
        <v>84</v>
      </c>
      <c r="G7" s="41" t="s">
        <v>85</v>
      </c>
    </row>
    <row r="8" spans="1:9" x14ac:dyDescent="0.25">
      <c r="A8" s="41">
        <v>1017543678</v>
      </c>
      <c r="B8" s="41" t="s">
        <v>86</v>
      </c>
      <c r="C8" s="41" t="s">
        <v>87</v>
      </c>
      <c r="D8" s="41">
        <v>5833636</v>
      </c>
      <c r="E8" s="41">
        <v>3145678907</v>
      </c>
      <c r="F8" s="42" t="s">
        <v>88</v>
      </c>
      <c r="G8" s="41" t="s">
        <v>89</v>
      </c>
    </row>
    <row r="9" spans="1:9" x14ac:dyDescent="0.25">
      <c r="A9" s="41">
        <v>1090654231</v>
      </c>
      <c r="B9" s="41" t="s">
        <v>90</v>
      </c>
      <c r="C9" s="41" t="s">
        <v>91</v>
      </c>
      <c r="D9" s="41">
        <v>2391449</v>
      </c>
      <c r="E9" s="41">
        <v>3105322870</v>
      </c>
      <c r="F9" s="42" t="s">
        <v>92</v>
      </c>
      <c r="G9" s="41" t="s">
        <v>93</v>
      </c>
    </row>
    <row r="10" spans="1:9" x14ac:dyDescent="0.25">
      <c r="A10" s="41">
        <v>1017243093</v>
      </c>
      <c r="B10" s="41" t="s">
        <v>94</v>
      </c>
      <c r="C10" s="41" t="s">
        <v>95</v>
      </c>
      <c r="D10" s="41">
        <v>2398070</v>
      </c>
      <c r="E10" s="41">
        <v>3108754321</v>
      </c>
      <c r="F10" s="42" t="s">
        <v>96</v>
      </c>
      <c r="G10" s="41" t="s">
        <v>97</v>
      </c>
    </row>
    <row r="11" spans="1:9" x14ac:dyDescent="0.25">
      <c r="A11" s="41">
        <v>1015754421</v>
      </c>
      <c r="B11" s="41" t="s">
        <v>98</v>
      </c>
      <c r="C11" s="41" t="s">
        <v>99</v>
      </c>
      <c r="D11" s="41">
        <v>2390078</v>
      </c>
      <c r="E11" s="41">
        <v>3008095432</v>
      </c>
      <c r="F11" s="42" t="s">
        <v>100</v>
      </c>
      <c r="G11" s="41" t="s">
        <v>85</v>
      </c>
    </row>
    <row r="12" spans="1:9" x14ac:dyDescent="0.25">
      <c r="A12" s="41">
        <v>1080789439</v>
      </c>
      <c r="B12" s="41" t="s">
        <v>101</v>
      </c>
      <c r="C12" s="41" t="s">
        <v>102</v>
      </c>
      <c r="D12" s="41">
        <v>5113652</v>
      </c>
      <c r="E12" s="41">
        <v>3145647891</v>
      </c>
      <c r="F12" s="42" t="s">
        <v>103</v>
      </c>
      <c r="G12" s="41" t="s">
        <v>66</v>
      </c>
    </row>
    <row r="13" spans="1:9" x14ac:dyDescent="0.25">
      <c r="A13" s="41">
        <v>1016254098</v>
      </c>
      <c r="B13" s="41" t="s">
        <v>104</v>
      </c>
      <c r="C13" s="41" t="s">
        <v>105</v>
      </c>
      <c r="D13" s="41">
        <v>2314560</v>
      </c>
      <c r="E13" s="41">
        <v>3128623465</v>
      </c>
      <c r="F13" s="42" t="s">
        <v>106</v>
      </c>
      <c r="G13" s="41" t="s">
        <v>107</v>
      </c>
    </row>
    <row r="14" spans="1:9" x14ac:dyDescent="0.25">
      <c r="A14" s="41">
        <v>1017653230</v>
      </c>
      <c r="B14" s="41" t="s">
        <v>108</v>
      </c>
      <c r="C14" s="41" t="s">
        <v>109</v>
      </c>
      <c r="D14" s="41">
        <v>2123459</v>
      </c>
      <c r="E14" s="41">
        <v>3012836236</v>
      </c>
      <c r="F14" s="42" t="s">
        <v>110</v>
      </c>
      <c r="G14" s="41" t="s">
        <v>73</v>
      </c>
    </row>
    <row r="15" spans="1:9" x14ac:dyDescent="0.25">
      <c r="A15" s="41">
        <v>1017345633</v>
      </c>
      <c r="B15" s="41" t="s">
        <v>111</v>
      </c>
      <c r="C15" s="41" t="s">
        <v>112</v>
      </c>
      <c r="D15" s="41">
        <v>5113426</v>
      </c>
      <c r="E15" s="41">
        <v>3193189557</v>
      </c>
      <c r="F15" s="42" t="s">
        <v>113</v>
      </c>
      <c r="G15" s="41" t="s">
        <v>114</v>
      </c>
    </row>
    <row r="16" spans="1:9" x14ac:dyDescent="0.25">
      <c r="A16" s="41">
        <v>1018765890</v>
      </c>
      <c r="B16" s="41" t="s">
        <v>115</v>
      </c>
      <c r="C16" s="41" t="s">
        <v>116</v>
      </c>
      <c r="D16" s="41">
        <v>2314451</v>
      </c>
      <c r="E16" s="41">
        <v>3185235564</v>
      </c>
      <c r="F16" s="42" t="s">
        <v>117</v>
      </c>
      <c r="G16" s="41" t="s">
        <v>97</v>
      </c>
    </row>
    <row r="17" spans="1:7" x14ac:dyDescent="0.25">
      <c r="A17" s="41">
        <v>1019699887</v>
      </c>
      <c r="B17" s="41" t="s">
        <v>118</v>
      </c>
      <c r="C17" s="41" t="s">
        <v>119</v>
      </c>
      <c r="D17" s="41">
        <v>5123450</v>
      </c>
      <c r="E17" s="41">
        <v>3190876541</v>
      </c>
      <c r="F17" s="42" t="s">
        <v>120</v>
      </c>
      <c r="G17" s="41" t="s">
        <v>77</v>
      </c>
    </row>
    <row r="18" spans="1:7" x14ac:dyDescent="0.25">
      <c r="A18" s="41">
        <v>1012345674</v>
      </c>
      <c r="B18" s="41" t="s">
        <v>121</v>
      </c>
      <c r="C18" s="41" t="s">
        <v>122</v>
      </c>
      <c r="D18" s="41">
        <v>2391212</v>
      </c>
      <c r="E18" s="41">
        <v>3008813251</v>
      </c>
      <c r="F18" s="42" t="s">
        <v>123</v>
      </c>
      <c r="G18" s="41" t="s">
        <v>81</v>
      </c>
    </row>
    <row r="19" spans="1:7" x14ac:dyDescent="0.25">
      <c r="A19" s="41">
        <v>1018643658</v>
      </c>
      <c r="B19" s="41" t="s">
        <v>124</v>
      </c>
      <c r="C19" s="41" t="s">
        <v>125</v>
      </c>
      <c r="D19" s="41">
        <v>5516780</v>
      </c>
      <c r="E19" s="41">
        <v>3016420971</v>
      </c>
      <c r="F19" s="42" t="s">
        <v>126</v>
      </c>
      <c r="G19" s="41" t="s">
        <v>89</v>
      </c>
    </row>
    <row r="20" spans="1:7" x14ac:dyDescent="0.25">
      <c r="A20" s="41">
        <v>1017543890</v>
      </c>
      <c r="B20" s="41" t="s">
        <v>127</v>
      </c>
      <c r="C20" s="41" t="s">
        <v>128</v>
      </c>
      <c r="D20" s="41">
        <v>2390654</v>
      </c>
      <c r="E20" s="41">
        <v>3025437610</v>
      </c>
      <c r="F20" s="42" t="s">
        <v>129</v>
      </c>
      <c r="G20" s="41" t="s">
        <v>85</v>
      </c>
    </row>
    <row r="21" spans="1:7" x14ac:dyDescent="0.25">
      <c r="A21" s="41">
        <v>1011324567</v>
      </c>
      <c r="B21" s="41" t="s">
        <v>130</v>
      </c>
      <c r="C21" s="41" t="s">
        <v>131</v>
      </c>
      <c r="D21" s="41">
        <v>5510981</v>
      </c>
      <c r="E21" s="41">
        <v>3198324578</v>
      </c>
      <c r="F21" s="42" t="s">
        <v>132</v>
      </c>
      <c r="G21" s="41" t="s">
        <v>93</v>
      </c>
    </row>
    <row r="22" spans="1:7" x14ac:dyDescent="0.25">
      <c r="A22" s="41">
        <v>1014654764</v>
      </c>
      <c r="B22" s="41" t="s">
        <v>133</v>
      </c>
      <c r="C22" s="41" t="s">
        <v>134</v>
      </c>
      <c r="D22" s="41">
        <v>2390808</v>
      </c>
      <c r="E22" s="41">
        <v>3015324495</v>
      </c>
      <c r="F22" s="42" t="s">
        <v>135</v>
      </c>
      <c r="G22" s="41" t="s">
        <v>107</v>
      </c>
    </row>
    <row r="23" spans="1:7" x14ac:dyDescent="0.25">
      <c r="A23" s="41">
        <v>71393575</v>
      </c>
      <c r="B23" s="41" t="s">
        <v>86</v>
      </c>
      <c r="C23" s="41" t="s">
        <v>71</v>
      </c>
      <c r="D23" s="41">
        <v>3388889</v>
      </c>
      <c r="E23" s="41">
        <v>3205205370</v>
      </c>
      <c r="F23" s="42" t="s">
        <v>159</v>
      </c>
      <c r="G23" s="41" t="s">
        <v>93</v>
      </c>
    </row>
    <row r="24" spans="1:7" x14ac:dyDescent="0.25">
      <c r="A24" s="41">
        <v>985896596</v>
      </c>
      <c r="B24" s="41" t="s">
        <v>160</v>
      </c>
      <c r="C24" s="41" t="s">
        <v>161</v>
      </c>
      <c r="D24" s="41">
        <v>3465810</v>
      </c>
      <c r="E24" s="41">
        <v>3205896526</v>
      </c>
      <c r="F24" s="42" t="s">
        <v>162</v>
      </c>
      <c r="G24" s="41" t="s">
        <v>114</v>
      </c>
    </row>
    <row r="25" spans="1:7" x14ac:dyDescent="0.25">
      <c r="A25" s="41">
        <v>15896526</v>
      </c>
      <c r="B25" s="41" t="s">
        <v>163</v>
      </c>
      <c r="C25" s="41" t="s">
        <v>164</v>
      </c>
      <c r="D25" s="41">
        <v>5880050</v>
      </c>
      <c r="E25" s="41">
        <v>3105001785</v>
      </c>
      <c r="F25" s="42" t="s">
        <v>165</v>
      </c>
      <c r="G25" s="41" t="s">
        <v>166</v>
      </c>
    </row>
    <row r="26" spans="1:7" x14ac:dyDescent="0.25">
      <c r="A26" s="41"/>
      <c r="B26" s="41"/>
      <c r="C26" s="41"/>
      <c r="D26" s="41"/>
      <c r="E26" s="41"/>
      <c r="F26" s="42"/>
      <c r="G26" s="41"/>
    </row>
    <row r="27" spans="1:7" x14ac:dyDescent="0.25">
      <c r="A27" s="41"/>
      <c r="B27" s="41"/>
      <c r="C27" s="41"/>
      <c r="D27" s="41"/>
      <c r="E27" s="41"/>
      <c r="F27" s="42"/>
      <c r="G27" s="41"/>
    </row>
    <row r="28" spans="1:7" x14ac:dyDescent="0.25">
      <c r="A28" s="41"/>
      <c r="B28" s="41"/>
      <c r="C28" s="41"/>
      <c r="D28" s="41"/>
      <c r="E28" s="41"/>
      <c r="F28" s="42"/>
      <c r="G28" s="41"/>
    </row>
    <row r="29" spans="1:7" x14ac:dyDescent="0.25">
      <c r="A29" s="41"/>
      <c r="B29" s="41"/>
      <c r="C29" s="41"/>
      <c r="D29" s="41"/>
      <c r="E29" s="41"/>
      <c r="F29" s="42"/>
      <c r="G29" s="41"/>
    </row>
    <row r="30" spans="1:7" x14ac:dyDescent="0.25">
      <c r="A30" s="41"/>
      <c r="B30" s="41"/>
      <c r="C30" s="41"/>
      <c r="D30" s="41"/>
      <c r="E30" s="41"/>
      <c r="F30" s="42"/>
      <c r="G30" s="41"/>
    </row>
    <row r="31" spans="1:7" x14ac:dyDescent="0.25">
      <c r="A31" s="41"/>
      <c r="B31" s="41"/>
      <c r="C31" s="41"/>
      <c r="D31" s="41"/>
      <c r="E31" s="41"/>
      <c r="F31" s="42"/>
      <c r="G31" s="41"/>
    </row>
    <row r="32" spans="1:7" x14ac:dyDescent="0.25">
      <c r="A32" s="41"/>
      <c r="B32" s="41"/>
      <c r="C32" s="41"/>
      <c r="D32" s="41"/>
      <c r="E32" s="41"/>
      <c r="F32" s="42"/>
      <c r="G32" s="41"/>
    </row>
    <row r="33" spans="1:7" x14ac:dyDescent="0.25">
      <c r="A33" s="41"/>
      <c r="B33" s="41"/>
      <c r="C33" s="41"/>
      <c r="D33" s="41"/>
      <c r="E33" s="41"/>
      <c r="F33" s="42"/>
      <c r="G33" s="41"/>
    </row>
    <row r="34" spans="1:7" x14ac:dyDescent="0.25">
      <c r="A34" s="41"/>
      <c r="B34" s="41"/>
      <c r="C34" s="41"/>
      <c r="D34" s="41"/>
      <c r="E34" s="41"/>
      <c r="F34" s="42"/>
      <c r="G34" s="41"/>
    </row>
    <row r="35" spans="1:7" x14ac:dyDescent="0.25">
      <c r="A35" s="41"/>
      <c r="B35" s="41"/>
      <c r="C35" s="41"/>
      <c r="D35" s="41"/>
      <c r="E35" s="41"/>
      <c r="F35" s="42"/>
      <c r="G35" s="41"/>
    </row>
    <row r="36" spans="1:7" x14ac:dyDescent="0.25">
      <c r="A36" s="41"/>
      <c r="B36" s="41"/>
      <c r="C36" s="41"/>
      <c r="D36" s="41"/>
      <c r="E36" s="41"/>
      <c r="F36" s="42"/>
      <c r="G36" s="41"/>
    </row>
    <row r="37" spans="1:7" x14ac:dyDescent="0.25">
      <c r="A37" s="41"/>
      <c r="B37" s="41"/>
      <c r="C37" s="41"/>
      <c r="D37" s="41"/>
      <c r="E37" s="41"/>
      <c r="F37" s="42"/>
      <c r="G37" s="41"/>
    </row>
    <row r="38" spans="1:7" x14ac:dyDescent="0.25">
      <c r="A38" s="41"/>
      <c r="B38" s="41"/>
      <c r="C38" s="41"/>
      <c r="D38" s="41"/>
      <c r="E38" s="41"/>
      <c r="F38" s="42"/>
      <c r="G38" s="41"/>
    </row>
    <row r="39" spans="1:7" x14ac:dyDescent="0.25">
      <c r="A39" s="41"/>
      <c r="B39" s="41"/>
      <c r="C39" s="41"/>
      <c r="D39" s="41"/>
      <c r="E39" s="41"/>
      <c r="F39" s="42"/>
      <c r="G39" s="41"/>
    </row>
    <row r="40" spans="1:7" x14ac:dyDescent="0.25">
      <c r="A40" s="41"/>
      <c r="B40" s="41"/>
      <c r="C40" s="41"/>
      <c r="D40" s="41"/>
      <c r="E40" s="41"/>
      <c r="F40" s="42"/>
      <c r="G40" s="41"/>
    </row>
    <row r="41" spans="1:7" x14ac:dyDescent="0.25">
      <c r="A41" s="41"/>
      <c r="B41" s="41"/>
      <c r="C41" s="41"/>
      <c r="D41" s="41"/>
      <c r="E41" s="41"/>
      <c r="F41" s="42"/>
      <c r="G41" s="41"/>
    </row>
    <row r="42" spans="1:7" x14ac:dyDescent="0.25">
      <c r="A42" s="41"/>
      <c r="B42" s="41"/>
      <c r="C42" s="41"/>
      <c r="D42" s="41"/>
      <c r="E42" s="41"/>
      <c r="F42" s="42"/>
      <c r="G42" s="41"/>
    </row>
  </sheetData>
  <hyperlinks>
    <hyperlink ref="F2" r:id="rId1"/>
    <hyperlink ref="F4" r:id="rId2"/>
    <hyperlink ref="F3" r:id="rId3"/>
    <hyperlink ref="F5" r:id="rId4"/>
    <hyperlink ref="F6" r:id="rId5"/>
    <hyperlink ref="F7" r:id="rId6"/>
    <hyperlink ref="F8" r:id="rId7"/>
    <hyperlink ref="F9" r:id="rId8"/>
    <hyperlink ref="F10" r:id="rId9"/>
    <hyperlink ref="F11" r:id="rId10"/>
    <hyperlink ref="F12" r:id="rId11"/>
    <hyperlink ref="F13" r:id="rId12"/>
    <hyperlink ref="F14" r:id="rId13"/>
    <hyperlink ref="F15" r:id="rId14"/>
    <hyperlink ref="F16" r:id="rId15"/>
    <hyperlink ref="F17" r:id="rId16"/>
    <hyperlink ref="F18" r:id="rId17"/>
    <hyperlink ref="F19" r:id="rId18"/>
    <hyperlink ref="F20" r:id="rId19"/>
    <hyperlink ref="F21" r:id="rId20"/>
    <hyperlink ref="F22" r:id="rId2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FACTURA</vt:lpstr>
      <vt:lpstr>DATOS</vt:lpstr>
      <vt:lpstr>CLIENTES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</dc:creator>
  <cp:lastModifiedBy>Martinez</cp:lastModifiedBy>
  <cp:lastPrinted>2016-11-21T19:18:56Z</cp:lastPrinted>
  <dcterms:created xsi:type="dcterms:W3CDTF">2016-11-21T03:24:02Z</dcterms:created>
  <dcterms:modified xsi:type="dcterms:W3CDTF">2016-11-21T19:56:10Z</dcterms:modified>
</cp:coreProperties>
</file>